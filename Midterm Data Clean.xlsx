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ordable_Housing" sheetId="1" r:id="rId5"/>
    <sheet state="visible" name="Construction end date vs. new u" sheetId="2" r:id="rId6"/>
    <sheet state="visible" name="Construction end date vs. sum o" sheetId="3" r:id="rId7"/>
    <sheet state="visible" name="Homeless Population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<sst xmlns="http://schemas.openxmlformats.org/spreadsheetml/2006/main" count="4576" uniqueCount="1766">
  <si>
    <t>X</t>
  </si>
  <si>
    <t>Y</t>
  </si>
  <si>
    <t>OBJECTID</t>
  </si>
  <si>
    <t>MAR_WARD</t>
  </si>
  <si>
    <t>ADDRESS</t>
  </si>
  <si>
    <t>PROJECT_NAME</t>
  </si>
  <si>
    <t>STATUS_PUBLIC</t>
  </si>
  <si>
    <t>AGENCY_CALCULATED</t>
  </si>
  <si>
    <t>TOTAL_AFFORDABLE_UNITS</t>
  </si>
  <si>
    <t>LATITUDE</t>
  </si>
  <si>
    <t>LONGITUDE</t>
  </si>
  <si>
    <t>AFFORDABLE_UNITS_AT_0_30_AMI</t>
  </si>
  <si>
    <t>AFFORDABLE_UNITS_AT_31_50_AMI</t>
  </si>
  <si>
    <t>AFFORDABLE_UNITS_AT_51_60_AMI</t>
  </si>
  <si>
    <t>AFFORDABLE_UNITS_AT_61_80_AMI</t>
  </si>
  <si>
    <t>AFFORDABLE_UNITS_AT_81_AMI</t>
  </si>
  <si>
    <t>CASE_ID</t>
  </si>
  <si>
    <t>MAR_ID</t>
  </si>
  <si>
    <t>XCOORD</t>
  </si>
  <si>
    <t>YCOORD</t>
  </si>
  <si>
    <t>FULLADDRESS</t>
  </si>
  <si>
    <t>GIS_LAST_MOD_DTTM</t>
  </si>
  <si>
    <t>AFFORDABLE_UNITS_PRESERVED</t>
  </si>
  <si>
    <t>UNITS_NEWLY_COVENANT_EXISTING</t>
  </si>
  <si>
    <t>AFFORDABLE_UNITS_PRODUCTION</t>
  </si>
  <si>
    <t>UNITS_NET_NEW</t>
  </si>
  <si>
    <t>UNITS_MARKET</t>
  </si>
  <si>
    <t>UNITS_TOTAL</t>
  </si>
  <si>
    <t>CONSTRUCTION_END_DATE</t>
  </si>
  <si>
    <t>NOTES</t>
  </si>
  <si>
    <t>Ward 7</t>
  </si>
  <si>
    <t>1715 28th Place Southeast, Washington, District of Columbia 20020</t>
  </si>
  <si>
    <t>28th Place, SE</t>
  </si>
  <si>
    <t>Completed 2015 to Date</t>
  </si>
  <si>
    <t>DHCD</t>
  </si>
  <si>
    <t>1715 28TH PLACE SE</t>
  </si>
  <si>
    <t>2026/02/23 05:00:22+00</t>
  </si>
  <si>
    <t>2020/07/23 00:00:00+00</t>
  </si>
  <si>
    <t xml:space="preserve">no case id </t>
  </si>
  <si>
    <t>Ward 6</t>
  </si>
  <si>
    <t>901 H Street Northeast, Washington, District of Columbia 20002</t>
  </si>
  <si>
    <t>Avec</t>
  </si>
  <si>
    <t>DHCD OP</t>
  </si>
  <si>
    <t>901 H STREET NE</t>
  </si>
  <si>
    <t>2020/01/01 00:00:00+00</t>
  </si>
  <si>
    <t>Ward 8</t>
  </si>
  <si>
    <t>2200 Hunter Place Southeast, Washington, District of Columbia 20020</t>
  </si>
  <si>
    <t>2200-2210 Hunter Place, SE</t>
  </si>
  <si>
    <t>2200 HUNTER PLACE SE</t>
  </si>
  <si>
    <t>2020/12/09 00:00:00+00</t>
  </si>
  <si>
    <t>no case id</t>
  </si>
  <si>
    <t>Ward 4</t>
  </si>
  <si>
    <t>53 Missouri Avenue NW, Washington, District of Columbia 20011</t>
  </si>
  <si>
    <t>49-53 Missouri Ave NW</t>
  </si>
  <si>
    <t>53 MISSOURI AVENUE NW</t>
  </si>
  <si>
    <t>2023/09/18 00:00:00+00</t>
  </si>
  <si>
    <t>Ward 5</t>
  </si>
  <si>
    <t>617 Hamlin Street Northeast, Washington, District of Columbia 20017</t>
  </si>
  <si>
    <t>Brookland Place Apartments</t>
  </si>
  <si>
    <t>617 HAMLIN STREET NE</t>
  </si>
  <si>
    <t>2020/05/20 00:00:00+00</t>
  </si>
  <si>
    <t>881 3rd St NW, Washington, District of Columbia 20001</t>
  </si>
  <si>
    <t>Liberty Place Apartments</t>
  </si>
  <si>
    <t>DMPED DHCD</t>
  </si>
  <si>
    <t>881 3RD STREET NW</t>
  </si>
  <si>
    <t>2022/01/18 00:00:00+00</t>
  </si>
  <si>
    <t>5400 5th Street Northwest, Washington, District of Columbia 20011</t>
  </si>
  <si>
    <t>5400 5th St Acquisition</t>
  </si>
  <si>
    <t>5400 5TH STREET NW</t>
  </si>
  <si>
    <t>2021/02/03 00:00:00+00</t>
  </si>
  <si>
    <t>810 New Jersey Avenue Northwest, Washington, District of Columbia 20001</t>
  </si>
  <si>
    <t>Capitol Vista</t>
  </si>
  <si>
    <t>DMPED DHCD OP</t>
  </si>
  <si>
    <t>17-06</t>
  </si>
  <si>
    <t>810 NEW JERSEY AVENUE NW</t>
  </si>
  <si>
    <t>2021/01/14 00:00:00+00</t>
  </si>
  <si>
    <t>1736 Rhode Island Avenue Northeast, Washington, District of Columbia 20018</t>
  </si>
  <si>
    <t>1736 Rhode Island Ave NE</t>
  </si>
  <si>
    <t>1736 RHODE ISLAND AVENUE NE</t>
  </si>
  <si>
    <t>809 Kennedy Street Northwest, Washington, District of Columbia 20011</t>
  </si>
  <si>
    <t>Todd A. Lee Senior Residences at Kennedy Street</t>
  </si>
  <si>
    <t>DCHFA DHCD</t>
  </si>
  <si>
    <t>809 KENNEDY STREET NW</t>
  </si>
  <si>
    <t>2021/11/22 00:00:00+00</t>
  </si>
  <si>
    <t>931 Longfellow Street Northwest, Washington, District of Columbia 20011</t>
  </si>
  <si>
    <t>Brightwood Gardens</t>
  </si>
  <si>
    <t>931 LONGFELLOW STREET NW</t>
  </si>
  <si>
    <t>2022/11/30 00:00:00+00</t>
  </si>
  <si>
    <t>101 49th Street Southeast, Washington, District of Columbia 20019</t>
  </si>
  <si>
    <t>Crawford Landing Townhomes</t>
  </si>
  <si>
    <t>101 49TH STREET SE</t>
  </si>
  <si>
    <t>2023/08/07 00:00:00+00</t>
  </si>
  <si>
    <t>1125 Spring Road Northwest, Washington, District of Columbia 20010</t>
  </si>
  <si>
    <t>The Appleton Spring Flats Senior 9% - fka Hebrew Home</t>
  </si>
  <si>
    <t>1125 SPRING ROAD NW</t>
  </si>
  <si>
    <t>2021/11/23 00:00:00+00</t>
  </si>
  <si>
    <t>1000 4th Street Southwest, Washington, District of Columbia 20024</t>
  </si>
  <si>
    <t>Waterfront Station II - The Westerly</t>
  </si>
  <si>
    <t>1000 4TH STREET SW</t>
  </si>
  <si>
    <t>2024/01/05 00:00:00+00</t>
  </si>
  <si>
    <t>220 Water Street Southeast, Washington, District of Columbia 20003</t>
  </si>
  <si>
    <t>The Yards Parcel L2 - The Estate</t>
  </si>
  <si>
    <t>DCHFA DHCD OP</t>
  </si>
  <si>
    <t>16-16</t>
  </si>
  <si>
    <t>220 WATER STREET SE</t>
  </si>
  <si>
    <t>2020/09/17 00:00:00+00</t>
  </si>
  <si>
    <t>1214 Madison Street Northwest, Washington, District of Columbia 20011</t>
  </si>
  <si>
    <t>M2R_MA</t>
  </si>
  <si>
    <t>1214 MADISON STREET NW</t>
  </si>
  <si>
    <t>2023/01/05 00:00:00+00</t>
  </si>
  <si>
    <t>633 21st Street Northeast, Washington, District of Columbia 20002</t>
  </si>
  <si>
    <t>The Jacob</t>
  </si>
  <si>
    <t>633 21ST STREET NE</t>
  </si>
  <si>
    <t>2020/11/17 00:00:00+00</t>
  </si>
  <si>
    <t>Ward 1</t>
  </si>
  <si>
    <t>2812 Georgia Avenue Northwest, Washington, District of Columbia 20001</t>
  </si>
  <si>
    <t>2812 Georgia Ave NW</t>
  </si>
  <si>
    <t>2812 GEORGIA AVENUE NW</t>
  </si>
  <si>
    <t>2020/07/07 00:00:00+00</t>
  </si>
  <si>
    <t>440 Penn Street Northeast, Washington, District of Columbia 20002</t>
  </si>
  <si>
    <t>The Mo (440 Penn Street NE)</t>
  </si>
  <si>
    <t>17-14</t>
  </si>
  <si>
    <t>440 PENN STREET NE</t>
  </si>
  <si>
    <t>2022/11/02 00:00:00+00</t>
  </si>
  <si>
    <t>5129 Nannie Helen Burroughs Avenue Northeast, Washington, District of Columbia 20019</t>
  </si>
  <si>
    <t>The Strand Residences - 5127 Nannie Helen Burroughs Ave NE</t>
  </si>
  <si>
    <t>DMPED DCHFA DHCD OP</t>
  </si>
  <si>
    <t>17-10</t>
  </si>
  <si>
    <t>5129 NANNIE HELEN BURROUGHS AVENUE NE</t>
  </si>
  <si>
    <t>2021/11/29 00:00:00+00</t>
  </si>
  <si>
    <t>1501 Harry Thomas Way Northeast, Washington, District of Columbia 20002</t>
  </si>
  <si>
    <t>Eckington Park - ONE501 - 1501 Harry Thomas Way,</t>
  </si>
  <si>
    <t>17-09</t>
  </si>
  <si>
    <t>1501 HARRY THOMAS WAY NE</t>
  </si>
  <si>
    <t>2021/10/15 00:00:00+00</t>
  </si>
  <si>
    <t>599 50th St NE, Washington, District of Columbia 20019</t>
  </si>
  <si>
    <t>Providence Place - NCI</t>
  </si>
  <si>
    <t>17-08</t>
  </si>
  <si>
    <t>599 50TH STREET NE</t>
  </si>
  <si>
    <t>2022/04/18 00:00:00+00</t>
  </si>
  <si>
    <t>3450 Eads Street Northeast, Washington, District of Columbia 20019</t>
  </si>
  <si>
    <t>3450 Eads St NE/3443 Benning Road</t>
  </si>
  <si>
    <t>16-20</t>
  </si>
  <si>
    <t>3450 EADS STREET NE</t>
  </si>
  <si>
    <t>2024/10/31 00:00:00+00</t>
  </si>
  <si>
    <t>1200 Varnum Street Northeast, Washington, District of Columbia 20017</t>
  </si>
  <si>
    <t>1200 Varnum Street NE - Josephites / EYA rowhouse</t>
  </si>
  <si>
    <t>16-17</t>
  </si>
  <si>
    <t>1200 VARNUM STREET NE</t>
  </si>
  <si>
    <t>2021/12/01 00:00:00+00</t>
  </si>
  <si>
    <t>200 Florida Avenue Northeast, Washington, District of Columbia 20002</t>
  </si>
  <si>
    <t>Washington Gateway Phase II - The Burton</t>
  </si>
  <si>
    <t>06-14D</t>
  </si>
  <si>
    <t>200 FLORIDA AVENUE NE</t>
  </si>
  <si>
    <t>2022/01/28 00:00:00+00</t>
  </si>
  <si>
    <t>71 Potomac Avenue Southeast, Washington, District of Columbia 20003</t>
  </si>
  <si>
    <t>The Maren - Florida Rock PUD - stage 2 residential building</t>
  </si>
  <si>
    <t>04-14D</t>
  </si>
  <si>
    <t>71 POTOMAC AVENUE SE</t>
  </si>
  <si>
    <t>2020/09/25 00:00:00+00</t>
  </si>
  <si>
    <t>1220 3rd Street NE, Washington, District of Columbia 20002</t>
  </si>
  <si>
    <t>Central Armature Works (Rigby and Market House)</t>
  </si>
  <si>
    <t>16-09</t>
  </si>
  <si>
    <t>1220 3RD STREET NE</t>
  </si>
  <si>
    <t>2022/08/29 00:00:00+00</t>
  </si>
  <si>
    <t>550 Morse Street Northeast, Washington, District of Columbia 20002</t>
  </si>
  <si>
    <t>Morse Apartments</t>
  </si>
  <si>
    <t>16-05</t>
  </si>
  <si>
    <t>550 MORSE STREET NE</t>
  </si>
  <si>
    <t>2021/07/27 00:00:00+00</t>
  </si>
  <si>
    <t>1701 H Street Northeast, Washington, District of Columbia 20002</t>
  </si>
  <si>
    <t>1701 H St NE (Benning Rd)</t>
  </si>
  <si>
    <t>15-31</t>
  </si>
  <si>
    <t>1701 H STREET NE</t>
  </si>
  <si>
    <t>2023/07/28 00:00:00+00</t>
  </si>
  <si>
    <t>301 N Street NE, Washington, District of Columbia 20002</t>
  </si>
  <si>
    <t>301 - 331 N Street NE</t>
  </si>
  <si>
    <t>15-28</t>
  </si>
  <si>
    <t>301 N STREET NE</t>
  </si>
  <si>
    <t>2021/05/01 00:00:00+00</t>
  </si>
  <si>
    <t>300 Morse Street Northeast, Washington, District of Columbia 20002</t>
  </si>
  <si>
    <t>The Gantry  (Building A1) - Union Market Terminal Stage 1 Consolidated PUD</t>
  </si>
  <si>
    <t>15-27</t>
  </si>
  <si>
    <t>300 MORSE STREET NE</t>
  </si>
  <si>
    <t>2022/01/31 00:00:00+00</t>
  </si>
  <si>
    <t>1500 Harry Thomas Way Northeast, Washington, District of Columbia 20002</t>
  </si>
  <si>
    <t>Eckington Yards (Judd &amp; Weiler, City Homes, 1625 Eckington)</t>
  </si>
  <si>
    <t>15-15</t>
  </si>
  <si>
    <t>1500 HARRY THOMAS WAY NE</t>
  </si>
  <si>
    <t>2021/09/21 00:00:00+00</t>
  </si>
  <si>
    <t>1401 Pennsylvania Avenue Southeast, Washington, District of Columbia 20003</t>
  </si>
  <si>
    <t>1401 Pennsylvania Ave SE</t>
  </si>
  <si>
    <t>15-12</t>
  </si>
  <si>
    <t>1401 PENNSYLVANIA AVENUE SE</t>
  </si>
  <si>
    <t>2020/05/21 00:00:00+00</t>
  </si>
  <si>
    <t>300 M Street Northeast, Washington, District of Columbia 20002</t>
  </si>
  <si>
    <t>300 M Street NE</t>
  </si>
  <si>
    <t>14-19</t>
  </si>
  <si>
    <t>300 M STREET NE</t>
  </si>
  <si>
    <t>2022/09/30 00:00:00+00</t>
  </si>
  <si>
    <t>22 Atlantic Street Southeast, Washington, District of Columbia 20032</t>
  </si>
  <si>
    <t>22 Atlantic Cooperative Association, Inc. (Acq)</t>
  </si>
  <si>
    <t>22 ATLANTIC STREET SE</t>
  </si>
  <si>
    <t>2022/08/22 00:00:00+00</t>
  </si>
  <si>
    <t>1336 8th St NW, Washington, District of Columbia 20001</t>
  </si>
  <si>
    <t>Intersect at O - 8th/O Street NW</t>
  </si>
  <si>
    <t>16-24</t>
  </si>
  <si>
    <t>1336 8TH STREET NW</t>
  </si>
  <si>
    <t>2023/01/30 00:00:00+00</t>
  </si>
  <si>
    <t>1200 Sumner Road Southeast, Washington, District of Columbia 20020</t>
  </si>
  <si>
    <t>Barry Farm - Onsite Building 1B (The Asberry)</t>
  </si>
  <si>
    <t>1200 SUMNER ROAD SE</t>
  </si>
  <si>
    <t>2024/09/30 00:00:00+00</t>
  </si>
  <si>
    <t>1133 North Capitol Street Northeast, Washington, District of Columbia 20002</t>
  </si>
  <si>
    <t>DCHA Headquarters - Phase 1</t>
  </si>
  <si>
    <t>DCHA</t>
  </si>
  <si>
    <t>1133 NORTH CAPITOL STREET NE</t>
  </si>
  <si>
    <t>2024/09/09 00:00:00+00</t>
  </si>
  <si>
    <t>808 Bladensburg Road Northeast, Washington, District of Columbia 20002</t>
  </si>
  <si>
    <t>Delta Towers</t>
  </si>
  <si>
    <t>808 BLADENSBURG ROAD NE</t>
  </si>
  <si>
    <t>2021/01/25 00:00:00+00</t>
  </si>
  <si>
    <t>1900 C Street Southeast, Washington, District of Columbia 20003</t>
  </si>
  <si>
    <t>Hill East Phase I - The Ethel (Parcel F-1)</t>
  </si>
  <si>
    <t>16-03</t>
  </si>
  <si>
    <t>1900 C STREET SE</t>
  </si>
  <si>
    <t>2023/01/27 00:00:00+00</t>
  </si>
  <si>
    <t>2 L Street Northwest, Washington, District of Columbia 20001</t>
  </si>
  <si>
    <t>Northwest One - Phase 1</t>
  </si>
  <si>
    <t>DMPED DCHA DCHFA DHCD</t>
  </si>
  <si>
    <t>2 L STREET NW</t>
  </si>
  <si>
    <t>2022/07/15 00:00:00+00</t>
  </si>
  <si>
    <t>1707 7th Street NW, Washington, District of Columbia 20001</t>
  </si>
  <si>
    <t>Parcel 42</t>
  </si>
  <si>
    <t>1707 7TH STREET NW</t>
  </si>
  <si>
    <t>2024/02/01 00:00:00+00</t>
  </si>
  <si>
    <t>610 Park Road Northwest, Washington, District of Columbia 20010</t>
  </si>
  <si>
    <t>Park Morton - Onsite Phase 1</t>
  </si>
  <si>
    <t>16-12</t>
  </si>
  <si>
    <t>610 PARK ROAD NW</t>
  </si>
  <si>
    <t>2025/08/01 00:00:00+00</t>
  </si>
  <si>
    <t>64 H Street Southwest, Washington, District of Columbia 20024</t>
  </si>
  <si>
    <t>Gallery 64/Museum Place - Randall School redevelopment</t>
  </si>
  <si>
    <t>07-13G</t>
  </si>
  <si>
    <t>64 H STREET SW</t>
  </si>
  <si>
    <t>2023/01/12 00:00:00+00</t>
  </si>
  <si>
    <t>1201 Oak Drive Southeast, Washington, District of Columbia 20032</t>
  </si>
  <si>
    <t>Saint Elizabeths East Campus Redevelopment Phase I</t>
  </si>
  <si>
    <t>1201 OAK DRIVE SE</t>
  </si>
  <si>
    <t>2021/01/22 00:00:00+00</t>
  </si>
  <si>
    <t>965 Florida Avenue Northwest, Washington, District of Columbia 20001</t>
  </si>
  <si>
    <t>The Wren</t>
  </si>
  <si>
    <t>DMPED OP</t>
  </si>
  <si>
    <t>15-34</t>
  </si>
  <si>
    <t>965 FLORIDA AVENUE NW</t>
  </si>
  <si>
    <t>2020/05/07 00:00:00+00</t>
  </si>
  <si>
    <t>4001 South Capitol Street Southwest, Washington, District of Columbia 20032</t>
  </si>
  <si>
    <t>South Capitol Multi-Family Building</t>
  </si>
  <si>
    <t>DCHA DCHFA DHCD</t>
  </si>
  <si>
    <t>4001 SOUTH CAPITOL STREET SW</t>
  </si>
  <si>
    <t>2020/10/13 00:00:00+00</t>
  </si>
  <si>
    <t>1520 North Capitol Street Northwest, Washington, District of Columbia 20002</t>
  </si>
  <si>
    <t>Cycle House</t>
  </si>
  <si>
    <t>1520 NORTH CAPITOL STREET NW</t>
  </si>
  <si>
    <t>2025/12/10 00:00:00+00</t>
  </si>
  <si>
    <t>1511 A Street Northeast, Washington, District of Columbia 20002</t>
  </si>
  <si>
    <t>1511 A Street NE</t>
  </si>
  <si>
    <t>1511 A STREET NE</t>
  </si>
  <si>
    <t>2023/04/28 00:00:00+00</t>
  </si>
  <si>
    <t>3559 Georgia Ave NW, Washington, District of Columbia 20010</t>
  </si>
  <si>
    <t>The V at Georgia Ave</t>
  </si>
  <si>
    <t>3559 GEORGIA AVENUE NW</t>
  </si>
  <si>
    <t>2023/12/01 00:00:00+00</t>
  </si>
  <si>
    <t>555 E Street Southwest, Washington, District of Columbia 20024</t>
  </si>
  <si>
    <t>Old Engine Co. 13</t>
  </si>
  <si>
    <t>DMPED DCHFA DHCD</t>
  </si>
  <si>
    <t>555 E STREET SW</t>
  </si>
  <si>
    <t>2020/08/19 00:00:00+00</t>
  </si>
  <si>
    <t>1923 Vermont Ave NW, Washington, District of Columbia</t>
  </si>
  <si>
    <t>Grimke Elementary School Phase 2</t>
  </si>
  <si>
    <t>1923 VERMONT AVENUE NW</t>
  </si>
  <si>
    <t>2025/10/01 00:00:00+00</t>
  </si>
  <si>
    <t>2412 Ainger Place Southeast, Washington, District of Columbia 20020</t>
  </si>
  <si>
    <t>Ainger Place</t>
  </si>
  <si>
    <t>2412 AINGER PLACE SE</t>
  </si>
  <si>
    <t>2020/07/09 00:00:00+00</t>
  </si>
  <si>
    <t>2121 1st Street Southwest, Washington, District of Columbia 20024</t>
  </si>
  <si>
    <t>RiverPoint</t>
  </si>
  <si>
    <t>17-05</t>
  </si>
  <si>
    <t>2121 1ST STREET SW</t>
  </si>
  <si>
    <t>2021/05/26 00:00:00+00</t>
  </si>
  <si>
    <t>1309 E Street Southeast, Washington, District of Columbia 20003</t>
  </si>
  <si>
    <t>Watkins Alley</t>
  </si>
  <si>
    <t>15-13</t>
  </si>
  <si>
    <t>1309 E STREET SE</t>
  </si>
  <si>
    <t>2020/09/09 00:00:00+00</t>
  </si>
  <si>
    <t>917 Sheridan Street Northwest, Washington, District of Columbia 20011</t>
  </si>
  <si>
    <t>917 Sheridan</t>
  </si>
  <si>
    <t>917 SHERIDAN STREET NW</t>
  </si>
  <si>
    <t>2021/09/15 00:00:00+00</t>
  </si>
  <si>
    <t>1220 Pennsylvania Avenue Southeast, Washington, District of Columbia 20003</t>
  </si>
  <si>
    <t>Rushmore</t>
  </si>
  <si>
    <t>1220 PENNSYLVANIA AVENUE SE</t>
  </si>
  <si>
    <t>2020/12/18 00:00:00+00</t>
  </si>
  <si>
    <t>2009 8th Street Northwest, Washington, District of Columbia 20001</t>
  </si>
  <si>
    <t>2009 8th St NW</t>
  </si>
  <si>
    <t>2009 8TH STREET NW</t>
  </si>
  <si>
    <t>2020/07/24 00:00:00+00</t>
  </si>
  <si>
    <t>1021 Bladensburg Road Northeast, Washington, District of Columbia 20002</t>
  </si>
  <si>
    <t>Mercer Lofts</t>
  </si>
  <si>
    <t>Pipeline</t>
  </si>
  <si>
    <t>1021 BLADENSBURG ROAD NE</t>
  </si>
  <si>
    <t>No construction end date or case id</t>
  </si>
  <si>
    <t>1211 Van Street Southeast, Washington, District of Columbia 20003</t>
  </si>
  <si>
    <t>Avidian</t>
  </si>
  <si>
    <t>1211 VAN STREET SE</t>
  </si>
  <si>
    <t>2020/12/04 00:00:00+00</t>
  </si>
  <si>
    <t>836 Varnum Street Northwest, Washington, District of Columbia 20011</t>
  </si>
  <si>
    <t>836 Varnum St NW</t>
  </si>
  <si>
    <t>836 VARNUM STREET NW</t>
  </si>
  <si>
    <t>2020/08/07 00:00:00+00</t>
  </si>
  <si>
    <t>838 Varnum Street Northwest, Washington, District of Columbia 20011</t>
  </si>
  <si>
    <t>838 Varnum St NW</t>
  </si>
  <si>
    <t>838 VARNUM STREET NW</t>
  </si>
  <si>
    <t>2020/12/23 00:00:00+00</t>
  </si>
  <si>
    <t>412 51st Street Southeast, Washington, District of Columbia 20019</t>
  </si>
  <si>
    <t>Cynthia Towns</t>
  </si>
  <si>
    <t>412 51ST STREET SE</t>
  </si>
  <si>
    <t>2020/04/03 00:00:00+00</t>
  </si>
  <si>
    <t>2213 14th Street Northwest, Washington, District of Columbia 20009</t>
  </si>
  <si>
    <t>2213 14th ST NW</t>
  </si>
  <si>
    <t>2213 14TH STREET NW</t>
  </si>
  <si>
    <t>2020/12/22 00:00:00+00</t>
  </si>
  <si>
    <t>4804 Georgia Avenue Northwest, Washington, District of Columbia 20012</t>
  </si>
  <si>
    <t>4804 Georgia Ave NW</t>
  </si>
  <si>
    <t>4804 GEORGIA AVENUE NW</t>
  </si>
  <si>
    <t>2022/04/29 00:00:00+00</t>
  </si>
  <si>
    <t>7700 Georgia Avenue Northwest, Washington, District of Columbia 20012</t>
  </si>
  <si>
    <t>7700 Georgia</t>
  </si>
  <si>
    <t>7700 GEORGIA AVENUE NW</t>
  </si>
  <si>
    <t>2022/03/01 00:00:00+00</t>
  </si>
  <si>
    <t>Ward 3</t>
  </si>
  <si>
    <t>5301 Connecticut Avenue Northwest, Washington, District of Columbia 20015</t>
  </si>
  <si>
    <t>5301-5303 Connecticut Ave NW</t>
  </si>
  <si>
    <t>5301 CONNECTICUT AVENUE NW</t>
  </si>
  <si>
    <t>2021/12/17 00:00:00+00</t>
  </si>
  <si>
    <t>1605 Good Hope Road Southeast, Washington, District of Columbia 20020</t>
  </si>
  <si>
    <t>1605 Good Hope Rd SE</t>
  </si>
  <si>
    <t>1605 GOOD HOPE ROAD SE</t>
  </si>
  <si>
    <t>3600 Ely Place Southeast, Washington, District of Columbia 20019</t>
  </si>
  <si>
    <t>Anacostia Gardens Apartments</t>
  </si>
  <si>
    <t>3600 ELY PLACE SE</t>
  </si>
  <si>
    <t>2022/07/29 00:00:00+00</t>
  </si>
  <si>
    <t>3300 6th Street Southeast, Washington, District of Columbia 20032</t>
  </si>
  <si>
    <t>Randle Hill Apts</t>
  </si>
  <si>
    <t>3300 6TH STREET SE</t>
  </si>
  <si>
    <t>2022/02/23 00:00:00+00</t>
  </si>
  <si>
    <t>2910 Stanton Road Southeast, Washington, District of Columbia 20020</t>
  </si>
  <si>
    <t>Stanton Square Apartments</t>
  </si>
  <si>
    <t>13-09</t>
  </si>
  <si>
    <t>2910 STANTON ROAD SE</t>
  </si>
  <si>
    <t>2021/07/01 00:00:00+00</t>
  </si>
  <si>
    <t>1320 4th Street NE, Washington, District of Columbia 20002</t>
  </si>
  <si>
    <t>1320 4th Street NE</t>
  </si>
  <si>
    <t>14-07B</t>
  </si>
  <si>
    <t>1320 4TH STREET NE</t>
  </si>
  <si>
    <t>2020/10/01 00:00:00+00</t>
  </si>
  <si>
    <t>1530 1st Street Southwest, Washington, District of Columbia 20024</t>
  </si>
  <si>
    <t>MDXL Flats</t>
  </si>
  <si>
    <t>18-13</t>
  </si>
  <si>
    <t>1530 1ST STREET SW</t>
  </si>
  <si>
    <t>2024/04/25 00:00:00+00</t>
  </si>
  <si>
    <t>1900 Half Street Southwest, Washington, District of Columbia 20536</t>
  </si>
  <si>
    <t>1900 Half Street SW</t>
  </si>
  <si>
    <t>OP</t>
  </si>
  <si>
    <t>16-06</t>
  </si>
  <si>
    <t>1900 HALF STREET SW</t>
  </si>
  <si>
    <t>2020/07/28 00:00:00+00</t>
  </si>
  <si>
    <t>1280 Union St NE, Washington, District of Columbia 20002</t>
  </si>
  <si>
    <t>Building A2 (Margarite) - Union Market Terminal Stage 2 PUD</t>
  </si>
  <si>
    <t>15-27A</t>
  </si>
  <si>
    <t>1280 UNION STREET NE</t>
  </si>
  <si>
    <t>2023/04/12 00:00:00+00</t>
  </si>
  <si>
    <t>1300 Yards Place Southeast, Washington, District of Columbia 20003</t>
  </si>
  <si>
    <t>The Yards - Parcel I (Vela)</t>
  </si>
  <si>
    <t>18-20</t>
  </si>
  <si>
    <t>1300 YARDS PLACE SE</t>
  </si>
  <si>
    <t>2023/07/14 00:00:00+00</t>
  </si>
  <si>
    <t>4 R Street Northwest, Washington, District of Columbia 20001</t>
  </si>
  <si>
    <t>4 R Street Northwest</t>
  </si>
  <si>
    <t>4 R STREET NW</t>
  </si>
  <si>
    <t>2020/10/06 00:00:00+00</t>
  </si>
  <si>
    <t>1350 E Street Southeast, Washington, District of Columbia 20003</t>
  </si>
  <si>
    <t>Beckert's Park (Capitol Hill Apartments on 14th)</t>
  </si>
  <si>
    <t>1350 E STREET SE</t>
  </si>
  <si>
    <t>2021/02/26 00:00:00+00</t>
  </si>
  <si>
    <t>6800 Georgia Avenue Northwest, Washington, District of Columbia 20307</t>
  </si>
  <si>
    <t>WRAMC - V/U-A/B (The Brooks and The Vale)</t>
  </si>
  <si>
    <t>6800 GEORGIA AVENUE NW</t>
  </si>
  <si>
    <t>2021/09/01 00:00:00+00</t>
  </si>
  <si>
    <t>35 Parker Row Southwest, Washington, District of Columbia 20024</t>
  </si>
  <si>
    <t>The Tides and Amaris (Parcel 8 and 9) - The Wharf  Phase II</t>
  </si>
  <si>
    <t>11-03J</t>
  </si>
  <si>
    <t>35 PARKER ROW SW</t>
  </si>
  <si>
    <t>1028 Bladensburg Road Northeast, Washington, District of Columbia 20002</t>
  </si>
  <si>
    <t>1028 Bladensburg Rd NE</t>
  </si>
  <si>
    <t>1028 BLADENSBURG ROAD NE</t>
  </si>
  <si>
    <t>205 v Street Northwest, Washington, District of Columbia 20001</t>
  </si>
  <si>
    <t>205 V St NW</t>
  </si>
  <si>
    <t>205 V STREET NW</t>
  </si>
  <si>
    <t>2020/09/10 00:00:00+00</t>
  </si>
  <si>
    <t>1676 Maryland Avenue Northeast, Washington, District of Columbia 20002</t>
  </si>
  <si>
    <t>Flats at Atlas Phase II</t>
  </si>
  <si>
    <t>1676 MARYLAND AVENUE NE</t>
  </si>
  <si>
    <t>2020/12/21 00:00:00+00</t>
  </si>
  <si>
    <t>3201 8th Street Northeast, Washington, District of Columbia 20017</t>
  </si>
  <si>
    <t>3201 8th Street NE</t>
  </si>
  <si>
    <t>18-21</t>
  </si>
  <si>
    <t>3201 8TH STREET NE</t>
  </si>
  <si>
    <t>2022/08/03 00:00:00+00</t>
  </si>
  <si>
    <t>202 Florida Avenue Northeast, Washington, District of Columbia 20002</t>
  </si>
  <si>
    <t>Washington Gateway Phase III - The 202 (South Residential Tower)</t>
  </si>
  <si>
    <t>06-14E</t>
  </si>
  <si>
    <t>202 FLORIDA AVENUE NE</t>
  </si>
  <si>
    <t>2024/01/17 00:00:00+00</t>
  </si>
  <si>
    <t>1100 Eastern Avenue Northeast, Washington, District of Columbia 20019</t>
  </si>
  <si>
    <t>1100 Eastern Ave NE</t>
  </si>
  <si>
    <t>1100 EASTERN AVENUE NE</t>
  </si>
  <si>
    <t>2021/12/30 00:00:00+00</t>
  </si>
  <si>
    <t>3534 East Capitol Street Northeast, Washington, District of Columbia 20019</t>
  </si>
  <si>
    <t>3500 East Capitol Street NE Solstice Phase II</t>
  </si>
  <si>
    <t>DCHA DHCD</t>
  </si>
  <si>
    <t>3534 EAST CAPITOL STREET NE</t>
  </si>
  <si>
    <t>2021/04/06 00:00:00+00</t>
  </si>
  <si>
    <t>401 Anacostia Road Southeast, Washington, District of Columbia 20019</t>
  </si>
  <si>
    <t>Mary's House</t>
  </si>
  <si>
    <t>401 ANACOSTIA ROAD SE</t>
  </si>
  <si>
    <t>2025/01/21 00:00:00+00</t>
  </si>
  <si>
    <t>930 Randolph Street Northwest, Washington, District of Columbia 20011</t>
  </si>
  <si>
    <t>Petworth Station Feb 2018</t>
  </si>
  <si>
    <t>930 RANDOLPH STREET NW</t>
  </si>
  <si>
    <t>2020/11/18 00:00:00+00</t>
  </si>
  <si>
    <t>Ward 2</t>
  </si>
  <si>
    <t>1338 R Street Northwest, Washington, District of Columbia 20009</t>
  </si>
  <si>
    <t>SOME - Anna Cooper House / Scattered Site III</t>
  </si>
  <si>
    <t>1338 R STREET NW</t>
  </si>
  <si>
    <t>2021/09/30 00:00:00+00</t>
  </si>
  <si>
    <t>1532 North Capitol Street Northwest, Washington, District of Columbia 20001</t>
  </si>
  <si>
    <t>1532 North Capitol NW</t>
  </si>
  <si>
    <t>1532 NORTH CAPITOL STREET NW</t>
  </si>
  <si>
    <t>2020/12/16 00:00:00+00</t>
  </si>
  <si>
    <t>1203 Jefferson Street Northwest, Washington, District of Columbia 20011</t>
  </si>
  <si>
    <t>1203 Jefferson St NW</t>
  </si>
  <si>
    <t>1203 JEFFERSON STREET NW</t>
  </si>
  <si>
    <t>1416 Quincy Street Northwest, Washington, District of Columbia 20011</t>
  </si>
  <si>
    <t>1416 Quincy St NW</t>
  </si>
  <si>
    <t>1416 QUINCY STREET NW</t>
  </si>
  <si>
    <t>2020/07/01 00:00:00+00</t>
  </si>
  <si>
    <t>1410 Quincy Street Northwest, Washington, District of Columbia 20011</t>
  </si>
  <si>
    <t>1408-1410 Quincy St NW</t>
  </si>
  <si>
    <t>1410 QUINCY STREET NW</t>
  </si>
  <si>
    <t>1729 T Street Northwest, Washington, District of Columbia 20009</t>
  </si>
  <si>
    <t>1729 T St NW</t>
  </si>
  <si>
    <t>1729 T STREET NW</t>
  </si>
  <si>
    <t>2021/09/14 00:00:00+00</t>
  </si>
  <si>
    <t>1212 Talbert Street Southeast, Washington, District of Columbia 20020</t>
  </si>
  <si>
    <t>1212 Talbert St SE</t>
  </si>
  <si>
    <t>1212 TALBERT STREET SE</t>
  </si>
  <si>
    <t>2020/08/20 00:00:00+00</t>
  </si>
  <si>
    <t>1447 Oak Street Northwest, Washington, District of Columbia 20010</t>
  </si>
  <si>
    <t>Rhode Island Condos</t>
  </si>
  <si>
    <t>1447 OAK STREET NW</t>
  </si>
  <si>
    <t>2027 Rhode Island Avenue Northeast, Washington, District of Columbia 20018</t>
  </si>
  <si>
    <t>2027 Rhode Island Ave NE</t>
  </si>
  <si>
    <t>2027 RHODE ISLAND AVENUE NE</t>
  </si>
  <si>
    <t>2022/03/21 00:00:00+00</t>
  </si>
  <si>
    <t>618 T Street Northwest, Washington, District of Columbia 20001</t>
  </si>
  <si>
    <t>The Shaw</t>
  </si>
  <si>
    <t>618 T STREET NW</t>
  </si>
  <si>
    <t>2020/03/24 00:00:00+00</t>
  </si>
  <si>
    <t>721 Kennedy Street Northwest, Washington, District of Columbia 20011</t>
  </si>
  <si>
    <t>WSH 7K</t>
  </si>
  <si>
    <t>721 KENNEDY STREET NW</t>
  </si>
  <si>
    <t>2020/05/22 00:00:00+00</t>
  </si>
  <si>
    <t>2711 13th Street Northeast, Washington, District of Columbia 20017</t>
  </si>
  <si>
    <t>Rhode Island Ave</t>
  </si>
  <si>
    <t>2711 13TH STREET NE</t>
  </si>
  <si>
    <t>1400 W Street Northwest, Washington, District of Columbia 20009</t>
  </si>
  <si>
    <t>1400 W ST NW</t>
  </si>
  <si>
    <t>1400 W STREET NW</t>
  </si>
  <si>
    <t>4656 Livingston Road Southeast, Washington, District of Columbia 20032</t>
  </si>
  <si>
    <t>Livingston Road Senior Apartments</t>
  </si>
  <si>
    <t>4656 LIVINGSTON ROAD SE</t>
  </si>
  <si>
    <t>2021/05/05 00:00:00+00</t>
  </si>
  <si>
    <t>4111 Kansas Avenue Northwest, Washington, District of Columbia 20011</t>
  </si>
  <si>
    <t>SOME Scattered Site IV - 4111 Kansas Ave NW</t>
  </si>
  <si>
    <t>DHCD Amazon Housing Equity Fund</t>
  </si>
  <si>
    <t>4111 KANSAS AVENUE NW</t>
  </si>
  <si>
    <t>2022/05/31 00:00:00+00</t>
  </si>
  <si>
    <t>325 Riggs Road Northeast, Washington, District of Columbia 20011</t>
  </si>
  <si>
    <t>Riggs Park Place - Fort Totten Phase 1 (Townhome)</t>
  </si>
  <si>
    <t>DMPED</t>
  </si>
  <si>
    <t>325 RIGGS ROAD NE</t>
  </si>
  <si>
    <t>2023/03/31 00:00:00+00</t>
  </si>
  <si>
    <t>2612 4th Street Northeast, Washington, District of Columbia 20002</t>
  </si>
  <si>
    <t>2612 4th St NE</t>
  </si>
  <si>
    <t>2612 4TH STREET NE</t>
  </si>
  <si>
    <t>2020/06/18 00:00:00+00</t>
  </si>
  <si>
    <t>927 Kennedy St NW, Washington, District of Columbia 20011</t>
  </si>
  <si>
    <t>927 Kennedy St NW</t>
  </si>
  <si>
    <t>927 KENNEDY STREET NW</t>
  </si>
  <si>
    <t>2022/03/07 00:00:00+00</t>
  </si>
  <si>
    <t>2905 Georgia Avenue Northwest, Washington, District of Columbia 20001</t>
  </si>
  <si>
    <t>2905-2909 Georgia Ave NW</t>
  </si>
  <si>
    <t>2905 GEORGIA AVENUE NW</t>
  </si>
  <si>
    <t>1516 Kenilworth Avenue Northeast, Washington, District of Columbia 20019</t>
  </si>
  <si>
    <t>Kenilworth 166 - Kenilworth Courts Phase 1</t>
  </si>
  <si>
    <t>1516 KENILWORTH AVENUE NE</t>
  </si>
  <si>
    <t>2024/08/29 00:00:00+00</t>
  </si>
  <si>
    <t>801 N Street Northwest, Washington, District of Columbia 20007</t>
  </si>
  <si>
    <t>801 N St NW</t>
  </si>
  <si>
    <t>801 N STREET NW</t>
  </si>
  <si>
    <t>88 v Street Southwest, Washington, District of Columbia 20024</t>
  </si>
  <si>
    <t>88 V St SW</t>
  </si>
  <si>
    <t>88 V STREET SW</t>
  </si>
  <si>
    <t>2020/10/30 00:00:00+00</t>
  </si>
  <si>
    <t>1614 26th Pl SE, Washington, District of Columbia 20020</t>
  </si>
  <si>
    <t>26th Place Flats</t>
  </si>
  <si>
    <t>1614 26TH PLACE SE</t>
  </si>
  <si>
    <t>2020/06/25 00:00:00+00</t>
  </si>
  <si>
    <t>2900 12th Street Northeast, Washington, District of Columbia 20017</t>
  </si>
  <si>
    <t>Aramko condominium</t>
  </si>
  <si>
    <t>2900 12TH STREET NE</t>
  </si>
  <si>
    <t>2020/11/25 00:00:00+00</t>
  </si>
  <si>
    <t>1731 Kalorama Road Northwest, Washington, District of Columbia 20009</t>
  </si>
  <si>
    <t>1731 Kalorama Rd NW</t>
  </si>
  <si>
    <t>1731 KALORAMA ROAD NW</t>
  </si>
  <si>
    <t>2021/12/21 00:00:00+00</t>
  </si>
  <si>
    <t>1701 14th Street Northwest, Washington, District of Columbia 20009</t>
  </si>
  <si>
    <t>The Liz</t>
  </si>
  <si>
    <t>1701 14TH STREET NW</t>
  </si>
  <si>
    <t>2020/01/24 00:00:00+00</t>
  </si>
  <si>
    <t>920 H Street Northeast, Washington, District of Columbia 20002</t>
  </si>
  <si>
    <t>Ashton Park</t>
  </si>
  <si>
    <t>920 H STREET NE</t>
  </si>
  <si>
    <t>1460 Belmont St NW, Washington, District of Columbia 20009</t>
  </si>
  <si>
    <t>1460 Belmont St NW</t>
  </si>
  <si>
    <t>1460 BELMONT STREET NW</t>
  </si>
  <si>
    <t>2024/08/07 00:00:00+00</t>
  </si>
  <si>
    <t>218 Vine Street Northwest, Washington, District of Columbia 20012</t>
  </si>
  <si>
    <t>218 Vine St NW - 4%</t>
  </si>
  <si>
    <t>218 VINE STREET NW</t>
  </si>
  <si>
    <t>2022/09/29 00:00:00+00</t>
  </si>
  <si>
    <t>1928 15th Street Southeast, Washington, District of Columbia 20020</t>
  </si>
  <si>
    <t>Homes Within Reach</t>
  </si>
  <si>
    <t>1928 15TH STREET SE</t>
  </si>
  <si>
    <t>2021/04/07 00:00:00+00</t>
  </si>
  <si>
    <t>17 Mississippi Avenue Southeast, Washington, District of Columbia 20032</t>
  </si>
  <si>
    <t>17 Mississippi Ave SE</t>
  </si>
  <si>
    <t>17 MISSISSIPPI AVENUE SE</t>
  </si>
  <si>
    <t>2442 Martin Luther King Jr Avenue Southeast, Washington, District of Columbia 20020</t>
  </si>
  <si>
    <t>2442 MLK</t>
  </si>
  <si>
    <t>2442 MARTIN LUTHER KING JR AVENUE SE</t>
  </si>
  <si>
    <t>2022/11/22 00:00:00+00</t>
  </si>
  <si>
    <t>1301 Savannah Street Southeast, Washington, District of Columbia 20032</t>
  </si>
  <si>
    <t>Savannah Apartments II</t>
  </si>
  <si>
    <t>1301 SAVANNAH STREET SE</t>
  </si>
  <si>
    <t>2022/06/28 00:00:00+00</t>
  </si>
  <si>
    <t>1630 Columbia Road Northwest, Washington, District of Columbia 20009</t>
  </si>
  <si>
    <t>1630 Columbia RD NW</t>
  </si>
  <si>
    <t>1630 COLUMBIA ROAD NW</t>
  </si>
  <si>
    <t>2021/10/23 00:00:00+00</t>
  </si>
  <si>
    <t>1715 North Capitol Street Northeast, Washington, District of Columbia 20002</t>
  </si>
  <si>
    <t>1715 North Capitol Street NE</t>
  </si>
  <si>
    <t>1715 NORTH CAPITOL STREET NE</t>
  </si>
  <si>
    <t>2021/06/01 00:00:00+00</t>
  </si>
  <si>
    <t>1202 Longfellow Street Northwest, Washington, District of Columbia 20011</t>
  </si>
  <si>
    <t>1202 Longfellow</t>
  </si>
  <si>
    <t>1202 LONGFELLOW STREET NW</t>
  </si>
  <si>
    <t>2022/02/15 00:00:00+00</t>
  </si>
  <si>
    <t>1445 Spring Road Northwest, Washington, District of Columbia 20010</t>
  </si>
  <si>
    <t>1445 Spring Rd NW Renovation</t>
  </si>
  <si>
    <t>1445 SPRING ROAD NW</t>
  </si>
  <si>
    <t>2022/12/13 00:00:00+00</t>
  </si>
  <si>
    <t>1320 Main Drive Northwest, Washington, District of Columbia 20012</t>
  </si>
  <si>
    <t>WRAMC - Abrams Hall Assisted Living (Building 14N)</t>
  </si>
  <si>
    <t>1320 MAIN DRIVE NW</t>
  </si>
  <si>
    <t>2022/04/04 00:00:00+00</t>
  </si>
  <si>
    <t>1001 Spring Road Northwest, Washington, District of Columbia 20010</t>
  </si>
  <si>
    <t>The Robeson - Spring Flats Family - Affordable</t>
  </si>
  <si>
    <t>1001 SPRING ROAD NW</t>
  </si>
  <si>
    <t>2022/06/23 00:00:00+00</t>
  </si>
  <si>
    <t>3601 14th Street Northwest, Washington, District of Columbia 20010</t>
  </si>
  <si>
    <t>3601 14th ST NW</t>
  </si>
  <si>
    <t>3601 14TH STREET NW</t>
  </si>
  <si>
    <t>2023/03/27 00:00:00+00</t>
  </si>
  <si>
    <t>1201 Perry Street Northeast, Washington, District of Columbia 20017</t>
  </si>
  <si>
    <t>1201 Perry ST NE</t>
  </si>
  <si>
    <t>1201 PERRY STREET NE</t>
  </si>
  <si>
    <t>2021/01/12 00:00:00+00</t>
  </si>
  <si>
    <t>1313 11th Street Northwest, Washington, District of Columbia 20001</t>
  </si>
  <si>
    <t>1313 11th ST NW</t>
  </si>
  <si>
    <t>1313 11TH STREET NW</t>
  </si>
  <si>
    <t>1650 Kenilworth Avenue Northeast, Washington, District of Columbia 20019</t>
  </si>
  <si>
    <t>The Residences at Kenilworth Park</t>
  </si>
  <si>
    <t>1650 KENILWORTH AVENUE NE</t>
  </si>
  <si>
    <t>2022/12/08 00:00:00+00</t>
  </si>
  <si>
    <t>600 4th Street Southwest, Washington, District of Columbia 20024</t>
  </si>
  <si>
    <t>The Kiley</t>
  </si>
  <si>
    <t>600 4TH STREET SW</t>
  </si>
  <si>
    <t>2021/03/29 00:00:00+00</t>
  </si>
  <si>
    <t>2607 Reed Street Northeast, Washington, District of Columbia 20018</t>
  </si>
  <si>
    <t>2607 Reed St. NE</t>
  </si>
  <si>
    <t>2607 REED STREET NE</t>
  </si>
  <si>
    <t>2021/09/07 00:00:00+00</t>
  </si>
  <si>
    <t>3117 Georgia Avenue Northwest, Washington, District of Columbia 20010</t>
  </si>
  <si>
    <t>3117 Georgia Ave NW</t>
  </si>
  <si>
    <t>3117 GEORGIA AVENUE NW</t>
  </si>
  <si>
    <t>1417 Belmont Street Northwest, Washington, District of Columbia 20009</t>
  </si>
  <si>
    <t>1417 Belmont ST NW</t>
  </si>
  <si>
    <t>1417 BELMONT STREET NW</t>
  </si>
  <si>
    <t>2024/03/29 00:00:00+00</t>
  </si>
  <si>
    <t>923 V Street Northwest, Washington, District of Columbia 20001</t>
  </si>
  <si>
    <t>923 V St NW</t>
  </si>
  <si>
    <t>923 V STREET NW</t>
  </si>
  <si>
    <t>2022/03/24 00:00:00+00</t>
  </si>
  <si>
    <t>919 12th Street Northeast, Washington, District of Columbia 20002</t>
  </si>
  <si>
    <t>OFF Twelfth</t>
  </si>
  <si>
    <t>919 12TH STREET NE</t>
  </si>
  <si>
    <t>2023/12/15 00:00:00+00</t>
  </si>
  <si>
    <t>818 Kennedy Street Northwest, Washington, District of Columbia 20011</t>
  </si>
  <si>
    <t>818 Kennedy St NW</t>
  </si>
  <si>
    <t>818 KENNEDY STREET NW</t>
  </si>
  <si>
    <t>2022/05/10 00:00:00+00</t>
  </si>
  <si>
    <t>759 18th St NE, Washington, District of Columbia 20002</t>
  </si>
  <si>
    <t>759 18th St NE</t>
  </si>
  <si>
    <t>759 18TH STREET NE</t>
  </si>
  <si>
    <t>2022/09/19 00:00:00+00</t>
  </si>
  <si>
    <t>1732 Montello Avenue Northeast, Washington, District of Columbia 20002</t>
  </si>
  <si>
    <t>1732 Montello Ave NE</t>
  </si>
  <si>
    <t>1732 MONTELLO AVENUE NE</t>
  </si>
  <si>
    <t>2022/08/17 00:00:00+00</t>
  </si>
  <si>
    <t>3300 11th Street Northwest, Washington, District of Columbia 20010</t>
  </si>
  <si>
    <t>3300-3316 11th ST NW</t>
  </si>
  <si>
    <t>3300 11TH STREET NW</t>
  </si>
  <si>
    <t>4328 Georgia Avenue Northwest, Washington, District of Columbia 20011</t>
  </si>
  <si>
    <t>4328 Georgia Ave NW</t>
  </si>
  <si>
    <t>4328 GEORGIA AVENUE NW</t>
  </si>
  <si>
    <t>2025/02/04 00:00:00+00</t>
  </si>
  <si>
    <t>818 Bladensburg Road Northeast, Washington, District of Columbia 20002</t>
  </si>
  <si>
    <t>818 Bladensburg Rd NE</t>
  </si>
  <si>
    <t>818 BLADENSBURG ROAD NE</t>
  </si>
  <si>
    <t>2023/03/07 00:00:00+00</t>
  </si>
  <si>
    <t>1803 1/2 Monroe St NE, Washington, District of Columbia 20018</t>
  </si>
  <si>
    <t>1803 1/2 Monroe St NE</t>
  </si>
  <si>
    <t>1803 1/2 MONROE STREET NE</t>
  </si>
  <si>
    <t>1005 Bunker Hill Road Northeast, Washington, District of Columbia 20018</t>
  </si>
  <si>
    <t>Mary House</t>
  </si>
  <si>
    <t>1005 BUNKER HILL ROAD NE</t>
  </si>
  <si>
    <t>2025/05/29 00:00:00+00</t>
  </si>
  <si>
    <t>4014 Georgia Avenue Northwest, Washington, District of Columbia 20011</t>
  </si>
  <si>
    <t>4014 Georgia Ave NW</t>
  </si>
  <si>
    <t>4014 GEORGIA AVENUE NW</t>
  </si>
  <si>
    <t>2022/06/13 00:00:00+00</t>
  </si>
  <si>
    <t>1735 28th Street Southeast, Washington, District of Columbia 20020</t>
  </si>
  <si>
    <t>1735 28th St SE</t>
  </si>
  <si>
    <t>1735 28TH STREET SE</t>
  </si>
  <si>
    <t>2023/01/20 00:00:00+00</t>
  </si>
  <si>
    <t>1810 I Street Northeast, Washington, District of Columbia 20002</t>
  </si>
  <si>
    <t>1810 I St NE</t>
  </si>
  <si>
    <t>1810 I STREET NE</t>
  </si>
  <si>
    <t>2024/04/18 00:00:00+00</t>
  </si>
  <si>
    <t>1400 Montana Avenue Northeast, Washington, District of Columbia 20018</t>
  </si>
  <si>
    <t>1400 Montana Ave NE</t>
  </si>
  <si>
    <t>1400 MONTANA AVENUE NE</t>
  </si>
  <si>
    <t>2022/08/12 00:00:00+00</t>
  </si>
  <si>
    <t>410 Rhode Island Avenue Northeast, Washington, District of Columbia 20002</t>
  </si>
  <si>
    <t>Rialto</t>
  </si>
  <si>
    <t>410 RHODE ISLAND AVENUE NE</t>
  </si>
  <si>
    <t>2022/04/12 00:00:00+00</t>
  </si>
  <si>
    <t>2131 9th Street Northwest, Washington, District of Columbia 20001</t>
  </si>
  <si>
    <t>9th and W</t>
  </si>
  <si>
    <t>2131 9TH STREET NW</t>
  </si>
  <si>
    <t>2023/03/16 00:00:00+00</t>
  </si>
  <si>
    <t>2505 Burns Street Southeast, Washington, District of Columbia 20020</t>
  </si>
  <si>
    <t>Penn Flats 16</t>
  </si>
  <si>
    <t>2505 BURNS STREET SE</t>
  </si>
  <si>
    <t>2022/12/29 00:00:00+00</t>
  </si>
  <si>
    <t>1800 Half Street Southwest, Washington, District of Columbia 20024</t>
  </si>
  <si>
    <t>Verge - 1800 Half St SW</t>
  </si>
  <si>
    <t>1800 HALF STREET SW</t>
  </si>
  <si>
    <t>7150 12th Street Northwest, Washington, District of Columbia 20012</t>
  </si>
  <si>
    <t>WRAMC - The Hartley (Building IJ)</t>
  </si>
  <si>
    <t>7150 12TH STREET NW</t>
  </si>
  <si>
    <t>300 8th St NE, Washington, District of Columbia 20002</t>
  </si>
  <si>
    <t>300 8th St NE</t>
  </si>
  <si>
    <t>300 8TH STREET NE</t>
  </si>
  <si>
    <t>2020/03/12 00:00:00+00</t>
  </si>
  <si>
    <t>1331 K Street SE, Washington, District of Columbia 20003</t>
  </si>
  <si>
    <t>1329 &amp; 1331 K ST Condos</t>
  </si>
  <si>
    <t>1331 K STREET SE</t>
  </si>
  <si>
    <t>2020/03/18 00:00:00+00</t>
  </si>
  <si>
    <t>1122 Bladensburg Road Northeast, Washington, District of Columbia 20002</t>
  </si>
  <si>
    <t>1122-1124 Bladensburg Rd NE</t>
  </si>
  <si>
    <t>1122 BLADENSBURG ROAD NE</t>
  </si>
  <si>
    <t>2020/09/03 00:00:00+00</t>
  </si>
  <si>
    <t>1928 Naylor Road Southeast, Washington, District of Columbia 20020</t>
  </si>
  <si>
    <t>MEDES</t>
  </si>
  <si>
    <t>1928 NAYLOR ROAD SE</t>
  </si>
  <si>
    <t>2022/11/07 00:00:00+00</t>
  </si>
  <si>
    <t>The Appleton - Spring Flats Senior 4 % - fka Hebrew Home</t>
  </si>
  <si>
    <t>800 Southern Avenue Southeast, Washington, District of Columbia 20032</t>
  </si>
  <si>
    <t>Park Southern Apartments - Summer 2018</t>
  </si>
  <si>
    <t>800 SOUTHERN AVENUE SE</t>
  </si>
  <si>
    <t>2023/04/01 00:00:00+00</t>
  </si>
  <si>
    <t>740 19th Street Northeast, Washington, District of Columbia 20002</t>
  </si>
  <si>
    <t>740 19th St NE</t>
  </si>
  <si>
    <t>740 19TH STREET NE</t>
  </si>
  <si>
    <t>2022/07/11 00:00:00+00</t>
  </si>
  <si>
    <t>3619 12th Street Northeast, Washington, District of Columbia 20017</t>
  </si>
  <si>
    <t>3619 12th St NE</t>
  </si>
  <si>
    <t>3619 12TH STREET NE</t>
  </si>
  <si>
    <t>2023/02/15 00:00:00+00</t>
  </si>
  <si>
    <t>1317 11th Street Northwest, Washington, District of Columbia 20001</t>
  </si>
  <si>
    <t>1317 11th St NW</t>
  </si>
  <si>
    <t>1317 11TH STREET NW</t>
  </si>
  <si>
    <t>2021/12/15 00:00:00+00</t>
  </si>
  <si>
    <t>5508 7th Street Northwest, Washington, District of Columbia 20011</t>
  </si>
  <si>
    <t>5508 7th St NW</t>
  </si>
  <si>
    <t>5508 7TH STREET NW</t>
  </si>
  <si>
    <t>2022/12/02 00:00:00+00</t>
  </si>
  <si>
    <t>3569 Warder Street Northwest, Washington, District of Columbia 20010</t>
  </si>
  <si>
    <t>3569 Warder St NW</t>
  </si>
  <si>
    <t>3569 WARDER STREET NW</t>
  </si>
  <si>
    <t>2021/06/18 00:00:00+00</t>
  </si>
  <si>
    <t>2433 Elvans Road Southeast, Washington, District of Columbia 20020</t>
  </si>
  <si>
    <t>2411-2433 Elvans Road SE</t>
  </si>
  <si>
    <t>2433 ELVANS ROAD SE</t>
  </si>
  <si>
    <t>2022/10/13 00:00:00+00</t>
  </si>
  <si>
    <t>2501 West Street Southeast, Washington, District of Columbia 20020</t>
  </si>
  <si>
    <t>Douglass Townhomes</t>
  </si>
  <si>
    <t>2501 WEST STREET SE</t>
  </si>
  <si>
    <t>2021/09/24 00:00:00+00</t>
  </si>
  <si>
    <t>1723 Montello Avenue Northeast, Washington, District of Columbia 20002</t>
  </si>
  <si>
    <t>1723 Montello Ave NE</t>
  </si>
  <si>
    <t>1723 MONTELLO AVENUE NE</t>
  </si>
  <si>
    <t>2022/01/05 00:00:00+00</t>
  </si>
  <si>
    <t>2224 Savannah Terrace Southeast, Washington, District of Columbia 20020</t>
  </si>
  <si>
    <t>Woodberry Village</t>
  </si>
  <si>
    <t>2224 SAVANNAH TERRACE SE</t>
  </si>
  <si>
    <t>2023/01/04 00:00:00+00</t>
  </si>
  <si>
    <t>2549 Elvans Road Southeast, Washington, District of Columbia 20020</t>
  </si>
  <si>
    <t>Skyline Apartments (formerly Forest Ridge and The Vistas)</t>
  </si>
  <si>
    <t>2549 ELVANS ROAD SE</t>
  </si>
  <si>
    <t>2021/04/27 00:00:00+00</t>
  </si>
  <si>
    <t>1001 Bryant Street Northeast, Washington, District of Columbia 20018</t>
  </si>
  <si>
    <t>1001 Bryant Street NE</t>
  </si>
  <si>
    <t>1001 BRYANT STREET NE</t>
  </si>
  <si>
    <t>2022/04/06 00:00:00+00</t>
  </si>
  <si>
    <t>1307 Longfellow Street Northwest, Washington, District of Columbia 20011</t>
  </si>
  <si>
    <t>1307 Longfellow St NW</t>
  </si>
  <si>
    <t>1307 LONGFELLOW STREET NW</t>
  </si>
  <si>
    <t>2024/06/12 00:00:00+00</t>
  </si>
  <si>
    <t>1010 17th Street Northeast, Washington, District of Columbia 20002</t>
  </si>
  <si>
    <t>1010 17th St NE</t>
  </si>
  <si>
    <t>1010 17TH STREET NE</t>
  </si>
  <si>
    <t>2024/07/31 00:00:00+00</t>
  </si>
  <si>
    <t>1504 North Capitol Street Northwest, Washington, District of Columbia 20002</t>
  </si>
  <si>
    <t>1504 North Capitol St NW</t>
  </si>
  <si>
    <t>1504 NORTH CAPITOL STREET NW</t>
  </si>
  <si>
    <t>2022/05/11 00:00:00+00</t>
  </si>
  <si>
    <t>2912 Stanton Road Southeast, Washington, District of Columbia 20020</t>
  </si>
  <si>
    <t>Townes at Stanton Square</t>
  </si>
  <si>
    <t>2912 STANTON ROAD SE</t>
  </si>
  <si>
    <t>2021/10/22 00:00:00+00</t>
  </si>
  <si>
    <t>2641 4th Street Northeast, Washington, District of Columbia 20002</t>
  </si>
  <si>
    <t>Flats on Fourth</t>
  </si>
  <si>
    <t>2641 4TH STREET NE</t>
  </si>
  <si>
    <t>1916 15th Street Southeast, Washington, District of Columbia 20020</t>
  </si>
  <si>
    <t>1916 15th St SE</t>
  </si>
  <si>
    <t>1916 15TH STREET SE</t>
  </si>
  <si>
    <t>2023/12/21 00:00:00+00</t>
  </si>
  <si>
    <t>2641 14th Street Northwest, Washington, District of Columbia 20011</t>
  </si>
  <si>
    <t>Faircliff Plaza East</t>
  </si>
  <si>
    <t>2641 14TH STREET NW</t>
  </si>
  <si>
    <t>2024/11/21 00:00:00+00</t>
  </si>
  <si>
    <t>1515 North Capitol Street Northeast, Washington, District of Columbia 20002</t>
  </si>
  <si>
    <t>SOME North Capitol Street 2019</t>
  </si>
  <si>
    <t>1515 NORTH CAPITOL STREET NE</t>
  </si>
  <si>
    <t>2023/11/09 00:00:00+00</t>
  </si>
  <si>
    <t>2323 Martin Luther King Jr Avenue Southeast, Washington, District of Columbia 20020</t>
  </si>
  <si>
    <t>The Clara On MLK</t>
  </si>
  <si>
    <t>2323 MARTIN LUTHER KING JR AVENUE SE</t>
  </si>
  <si>
    <t>2024/08/19 00:00:00+00</t>
  </si>
  <si>
    <t>505 Jefferson Street NW, Washington, District of Columbia 20011</t>
  </si>
  <si>
    <t>505 Jefferson Street NW Renovation</t>
  </si>
  <si>
    <t>505 JEFFERSON STREET NW</t>
  </si>
  <si>
    <t>2023/06/01 00:00:00+00</t>
  </si>
  <si>
    <t>680 Rhode Island Avenue Northeast, Washington, District of Columbia 20002</t>
  </si>
  <si>
    <t>680 Rhode Island Ave NE</t>
  </si>
  <si>
    <t>680 RHODE ISLAND AVENUE NE</t>
  </si>
  <si>
    <t>1949 Naylor Road Southeast, Washington, District of Columbia 20020</t>
  </si>
  <si>
    <t>1949 Naylor Road SE</t>
  </si>
  <si>
    <t>1949 NAYLOR ROAD SE</t>
  </si>
  <si>
    <t>2024/07/24 00:00:00+00</t>
  </si>
  <si>
    <t>611 Kennedy Street Northwest, Washington, District of Columbia 20011</t>
  </si>
  <si>
    <t>611 Kennedy Street NW</t>
  </si>
  <si>
    <t>611 KENNEDY STREET NW</t>
  </si>
  <si>
    <t>2023/10/20 00:00:00+00</t>
  </si>
  <si>
    <t>4920 Nash Street Northeast, Washington, District of Columbia 20019</t>
  </si>
  <si>
    <t>4920 Nash St NE</t>
  </si>
  <si>
    <t>4920 NASH STREET NE</t>
  </si>
  <si>
    <t>4732 Sheriff Road Northeast, Washington, District of Columbia 20019</t>
  </si>
  <si>
    <t>4732 Sheriff Road NE</t>
  </si>
  <si>
    <t>4732 SHERIFF ROAD NE</t>
  </si>
  <si>
    <t>2023/09/21 00:00:00+00</t>
  </si>
  <si>
    <t>3315 11th Street Northwest, Washington, District of Columbia 20010</t>
  </si>
  <si>
    <t>3315 11th St NW</t>
  </si>
  <si>
    <t>3315 11TH STREET NW</t>
  </si>
  <si>
    <t>2025/01/13 00:00:00+00</t>
  </si>
  <si>
    <t>5900 Foote Street Northeast, Washington, District of Columbia 20019</t>
  </si>
  <si>
    <t>5900 Foote St NE</t>
  </si>
  <si>
    <t>5900 FOOTE STREET NE</t>
  </si>
  <si>
    <t>2023/08/22 00:00:00+00</t>
  </si>
  <si>
    <t>2604 29th Street Southeast, Washington, District of Columbia 20020</t>
  </si>
  <si>
    <t>2604 29th St SE</t>
  </si>
  <si>
    <t>2604 29TH STREET SE</t>
  </si>
  <si>
    <t>2023/08/17 00:00:00+00</t>
  </si>
  <si>
    <t>2622 University Place Northwest, Washington, District of Columbia 20009</t>
  </si>
  <si>
    <t>University Place Condos</t>
  </si>
  <si>
    <t>2622 UNIVERSITY PLACE NW</t>
  </si>
  <si>
    <t>1420 R Street Northwest, Washington, District of Columbia 20009</t>
  </si>
  <si>
    <t>Ritch Homes Apartments</t>
  </si>
  <si>
    <t>1420 R STREET NW</t>
  </si>
  <si>
    <t>2022/07/08 00:00:00+00</t>
  </si>
  <si>
    <t>22 Banner Ln NW, Washington, District of Columbia 20002</t>
  </si>
  <si>
    <t>Banner Lane (Sursum Corda Phase 1, South Parcel)</t>
  </si>
  <si>
    <t>DCHA DCHFA DHCD OP</t>
  </si>
  <si>
    <t>15-20C</t>
  </si>
  <si>
    <t>22 BANNER LANE NW</t>
  </si>
  <si>
    <t>2023/01/19 00:00:00+00</t>
  </si>
  <si>
    <t>3534 13th Street Northwest, Washington, District of Columbia 20010</t>
  </si>
  <si>
    <t>3532 1/2 -3534 13th Street NW</t>
  </si>
  <si>
    <t>3534 13TH STREET NW</t>
  </si>
  <si>
    <t>2022/06/06 00:00:00+00</t>
  </si>
  <si>
    <t>1335 Pennsylvania Avenue Southeast, Washington, District of Columbia 20003</t>
  </si>
  <si>
    <t>1335 Pennsylvania Ave SE</t>
  </si>
  <si>
    <t>1335 PENNSYLVANIA AVENUE SE</t>
  </si>
  <si>
    <t>505 Kennedy Street Northwest, Washington, District of Columbia 20011</t>
  </si>
  <si>
    <t>505 Kennedy St NW</t>
  </si>
  <si>
    <t>505 KENNEDY STREET NW</t>
  </si>
  <si>
    <t>2023/10/11 00:00:00+00</t>
  </si>
  <si>
    <t>4633 41st Street Northwest, Washington, District of Columbia 20016</t>
  </si>
  <si>
    <t>4633 41st St NW</t>
  </si>
  <si>
    <t>4633 41ST STREET NW</t>
  </si>
  <si>
    <t xml:space="preserve">No construction end date and no case id </t>
  </si>
  <si>
    <t>1214 Bladensburg Road Northeast, Washington, District of Columbia 20002</t>
  </si>
  <si>
    <t>1214 Bladensburg Rd NE</t>
  </si>
  <si>
    <t>1214 BLADENSBURG ROAD NE</t>
  </si>
  <si>
    <t>2024/01/12 00:00:00+00</t>
  </si>
  <si>
    <t>1915 Benning Road Northeast, Washington, District of Columbia 20002</t>
  </si>
  <si>
    <t>1915 Benning Road NE</t>
  </si>
  <si>
    <t>1915 BENNING ROAD NE</t>
  </si>
  <si>
    <t>1258 Talbert Street Southeast, Washington, District of Columbia 20020</t>
  </si>
  <si>
    <t>Talbert-Morris Residences</t>
  </si>
  <si>
    <t>1258 TALBERT STREET SE</t>
  </si>
  <si>
    <t>400 I Street Southwest, Washington, District of Columbia 20024</t>
  </si>
  <si>
    <t>Westminster Presbyterian Church Redevelopment - 400 I St SW</t>
  </si>
  <si>
    <t>20-12</t>
  </si>
  <si>
    <t>400 I STREET SW</t>
  </si>
  <si>
    <t>No construction end date</t>
  </si>
  <si>
    <t>801 New Jersey Avenue Northwest, Washington, District of Columbia 20001</t>
  </si>
  <si>
    <t>Alta 801</t>
  </si>
  <si>
    <t>801 NEW JERSEY AVENUE NW</t>
  </si>
  <si>
    <t>3044 30th Street Southeast, Washington, District of Columbia 20020</t>
  </si>
  <si>
    <t>3044 30th St SE</t>
  </si>
  <si>
    <t>3044 30TH STREET SE</t>
  </si>
  <si>
    <t>2024/05/31 00:00:00+00</t>
  </si>
  <si>
    <t>218 Cedar Street Northwest, Washington, District of Columbia 20012</t>
  </si>
  <si>
    <t>218 Cedar St NW</t>
  </si>
  <si>
    <t>218 CEDAR STREET NW</t>
  </si>
  <si>
    <t>2024/07/25 00:00:00+00</t>
  </si>
  <si>
    <t>1525 Good Hope Road Southeast, Washington, District of Columbia 20020</t>
  </si>
  <si>
    <t>1525 Good Hope Rd SE</t>
  </si>
  <si>
    <t>1525 GOOD HOPE ROAD SE</t>
  </si>
  <si>
    <t>2230 Nicholson Street Southeast, Washington, District of Columbia 20020</t>
  </si>
  <si>
    <t>2230 Nicholson St SE</t>
  </si>
  <si>
    <t>2230 NICHOLSON STREET SE</t>
  </si>
  <si>
    <t>2023/10/16 00:00:00+00</t>
  </si>
  <si>
    <t>1913 17th Street Southeast, Washington, District of Columbia 20020</t>
  </si>
  <si>
    <t>1913 17th St SE</t>
  </si>
  <si>
    <t>1913 17TH STREET SE</t>
  </si>
  <si>
    <t>2025/01/29 00:00:00+00</t>
  </si>
  <si>
    <t>1517 Young Street Southeast, Washington, District of Columbia 20020</t>
  </si>
  <si>
    <t>1517 Young St SE</t>
  </si>
  <si>
    <t>1517 YOUNG STREET SE</t>
  </si>
  <si>
    <t>2024/06/18 00:00:00+00</t>
  </si>
  <si>
    <t>1444 Independence Avenue Southeast, Washington, District of Columbia 20003</t>
  </si>
  <si>
    <t>1444 Independence Ave SE</t>
  </si>
  <si>
    <t>1444 INDEPENDENCE AVENUE SE</t>
  </si>
  <si>
    <t>313 Kennedy Street Northwest, Washington, District of Columbia 20011</t>
  </si>
  <si>
    <t>313 - 317 Kennedy St NW</t>
  </si>
  <si>
    <t>313 KENNEDY STREET NW</t>
  </si>
  <si>
    <t>2025/09/02 00:00:00+00</t>
  </si>
  <si>
    <t>2220 11th Street Northwest, Washington, District of Columbia 20001</t>
  </si>
  <si>
    <t>2220 11th St NW</t>
  </si>
  <si>
    <t>2220 11TH STREET NW</t>
  </si>
  <si>
    <t>2023/02/24 00:00:00+00</t>
  </si>
  <si>
    <t>1600 Good Hope Road Southeast, Washington, District of Columbia 20020</t>
  </si>
  <si>
    <t>1600 Good Hope Rd SE</t>
  </si>
  <si>
    <t>1600 GOOD HOPE ROAD SE</t>
  </si>
  <si>
    <t>2025/03/13 00:00:00+00</t>
  </si>
  <si>
    <t>5543 South Dakota Avenue Northeast, Washington, District of Columbia 20011</t>
  </si>
  <si>
    <t>Riggs Crossing Senior Residences - Fort Totten Phase 2 (Multifamily Senior)</t>
  </si>
  <si>
    <t>5543 SOUTH DAKOTA AVENUE NE</t>
  </si>
  <si>
    <t>2025/04/14 00:00:00+00</t>
  </si>
  <si>
    <t>2217 Minnesota Avenue Southeast, Washington, District of Columbia 20020</t>
  </si>
  <si>
    <t>2217 Minnesota Ave SE</t>
  </si>
  <si>
    <t>2217 MINNESOTA AVENUE SE</t>
  </si>
  <si>
    <t>3006 Martin Luther King Jr Avenue Southeast, Washington, District of Columbia 20032</t>
  </si>
  <si>
    <t>3006 Martin Luther King Jr Ave SE</t>
  </si>
  <si>
    <t>3006 MARTIN LUTHER KING JR AVENUE SE</t>
  </si>
  <si>
    <t>256 15th Street Southeast, Washington, District of Columbia 20003</t>
  </si>
  <si>
    <t>256 15th St SE</t>
  </si>
  <si>
    <t>256 15TH STREET SE</t>
  </si>
  <si>
    <t>2022/12/27 00:00:00+00</t>
  </si>
  <si>
    <t>5816 Georgia Avenue Northwest, Washington, District of Columbia 20011</t>
  </si>
  <si>
    <t>5816 Georgia Ave NW</t>
  </si>
  <si>
    <t>5816 GEORGIA AVENUE NW</t>
  </si>
  <si>
    <t>2023/08/08 00:00:00+00</t>
  </si>
  <si>
    <t>79 Hanover Place NW, Washington, District of Columbia 20001</t>
  </si>
  <si>
    <t>79 Hanover Pl NW</t>
  </si>
  <si>
    <t>79 HANOVER PLACE NW</t>
  </si>
  <si>
    <t>3743 12th Street Northeast, Washington, District of Columbia 20017</t>
  </si>
  <si>
    <t>3743 12th St NE</t>
  </si>
  <si>
    <t>3743 12TH STREET NE</t>
  </si>
  <si>
    <t>2023/08/29 00:00:00+00</t>
  </si>
  <si>
    <t>30 Kennedy Street Northwest, Washington, District of Columbia 20011</t>
  </si>
  <si>
    <t>30 Kennedy St NW</t>
  </si>
  <si>
    <t>30 KENNEDY STREET NW</t>
  </si>
  <si>
    <t>2024/01/08 00:00:00+00</t>
  </si>
  <si>
    <t>714 Girard Street Northwest, Washington, District of Columbia 20001</t>
  </si>
  <si>
    <t>714 Girard St NW</t>
  </si>
  <si>
    <t>714 GIRARD STREET NW</t>
  </si>
  <si>
    <t>2023/08/16 00:00:00+00</t>
  </si>
  <si>
    <t>304 Florida Avenue Northwest, Washington, District of Columbia 20001</t>
  </si>
  <si>
    <t>Hart Wardman Condos</t>
  </si>
  <si>
    <t>304 FLORIDA AVENUE NW</t>
  </si>
  <si>
    <t>2023/12/29 00:00:00+00</t>
  </si>
  <si>
    <t>1419 Spring Road Northwest, Washington, District of Columbia 20010</t>
  </si>
  <si>
    <t>1419 Spring Rd NW</t>
  </si>
  <si>
    <t>1419 SPRING ROAD NW</t>
  </si>
  <si>
    <t>2024/03/12 00:00:00+00</t>
  </si>
  <si>
    <t>7428 Georgia Avenue Northwest, Washington, District of Columbia 20012</t>
  </si>
  <si>
    <t>Shepherd Park Apartments</t>
  </si>
  <si>
    <t>7428 GEORGIA AVENUE NW</t>
  </si>
  <si>
    <t>93 Hawaii Avenue Northeast, Washington, District of Columbia 20011</t>
  </si>
  <si>
    <t>93 Hawaii Ave NE</t>
  </si>
  <si>
    <t>93 HAWAII AVENUE NE</t>
  </si>
  <si>
    <t>1639 V Street Southeast, Washington, District of Columbia 20020</t>
  </si>
  <si>
    <t>Anatra Condominium</t>
  </si>
  <si>
    <t>1639 V STREET SE</t>
  </si>
  <si>
    <t>1123 Sycamore Drive Southeast, Washington, District of Columbia 20020</t>
  </si>
  <si>
    <t>District Towns at St. Elizabeths East</t>
  </si>
  <si>
    <t>1123 SYCAMORE DRIVE SE</t>
  </si>
  <si>
    <t>2022/04/25 00:00:00+00</t>
  </si>
  <si>
    <t>60 I Street Southwest, Washington, District of Columbia 20024</t>
  </si>
  <si>
    <t>60 I St SW</t>
  </si>
  <si>
    <t>60 I STREET SW</t>
  </si>
  <si>
    <t>2024/03/14 00:00:00+00</t>
  </si>
  <si>
    <t>1001 Rhode Island Avenue Northeast, Washington, District of Columbia 20018</t>
  </si>
  <si>
    <t>1001 Rhode Island Ave NE</t>
  </si>
  <si>
    <t>1001 RHODE ISLAND AVENUE NE</t>
  </si>
  <si>
    <t>2025/02/26 00:00:00+00</t>
  </si>
  <si>
    <t>3071 4th Street Northeast, Washington, District of Columbia 20002</t>
  </si>
  <si>
    <t>Brookland Grove</t>
  </si>
  <si>
    <t>3071 4TH STREET NE</t>
  </si>
  <si>
    <t>785 Lamont Street Northwest, Washington, District of Columbia 20010</t>
  </si>
  <si>
    <t>Arcade Sunshine - Building 2</t>
  </si>
  <si>
    <t>785 LAMONT STREET NW</t>
  </si>
  <si>
    <t>2020/06/29 00:00:00+00</t>
  </si>
  <si>
    <t>4272 7th Street Southeast, Washington, District of Columbia 20032</t>
  </si>
  <si>
    <t>Belmont Crossing Phase IA</t>
  </si>
  <si>
    <t>4272 7TH STREET SE</t>
  </si>
  <si>
    <t>2025/05/13 00:00:00+00</t>
  </si>
  <si>
    <t>1603 Benning Road Northeast, Washington, District of Columbia 20002</t>
  </si>
  <si>
    <t>The Paxton - Benning Road</t>
  </si>
  <si>
    <t>1603 BENNING ROAD NE</t>
  </si>
  <si>
    <t>2024/06/26 00:00:00+00</t>
  </si>
  <si>
    <t>14 P Street Northwest, Washington, District of Columbia 20007</t>
  </si>
  <si>
    <t>14 P St. NW</t>
  </si>
  <si>
    <t>14 P STREET NW</t>
  </si>
  <si>
    <t>623 Kennedy Street Northwest, Washington, District of Columbia 20011</t>
  </si>
  <si>
    <t>623 Kennedy St. NW</t>
  </si>
  <si>
    <t>623 KENNEDY STREET NW</t>
  </si>
  <si>
    <t>2024/08/02 00:00:00+00</t>
  </si>
  <si>
    <t>2219 Town Center Drive SE, Washington, District of Columbia 20020</t>
  </si>
  <si>
    <t>Crest at Skyland Town Center</t>
  </si>
  <si>
    <t>2219 TOWN CENTER DRIVE SE</t>
  </si>
  <si>
    <t>2021/03/31 00:00:00+00</t>
  </si>
  <si>
    <t>4408 Georgia Avenue Northwest, Washington, District of Columbia 20011</t>
  </si>
  <si>
    <t>4408 Georgia Ave. NW</t>
  </si>
  <si>
    <t>4408 GEORGIA AVENUE NW</t>
  </si>
  <si>
    <t>2022/09/01 00:00:00+00</t>
  </si>
  <si>
    <t>705 Euclid Street Northwest, Washington, District of Columbia 20001</t>
  </si>
  <si>
    <t>705 Euclid St. NW</t>
  </si>
  <si>
    <t>705 EUCLID STREET NW</t>
  </si>
  <si>
    <t>2021/05/12 00:00:00+00</t>
  </si>
  <si>
    <t>4916 Nash Street Northeast, Washington, District of Columbia 20019</t>
  </si>
  <si>
    <t>4916 Nash St. NE</t>
  </si>
  <si>
    <t>4916 NASH STREET NE</t>
  </si>
  <si>
    <t>4912 Nash Street Northeast, Washington, District of Columbia 20019</t>
  </si>
  <si>
    <t>4912 Nash St. NE</t>
  </si>
  <si>
    <t>4912 NASH STREET NE</t>
  </si>
  <si>
    <t>423 Quincy Street Northwest, Washington, District of Columbia 20011</t>
  </si>
  <si>
    <t>423 Quincy St. NW</t>
  </si>
  <si>
    <t>423 QUINCY STREET NW</t>
  </si>
  <si>
    <t>4012 Georgia Avenue Northwest, Washington, District of Columbia 20011</t>
  </si>
  <si>
    <t>4012 Georgia Ave. NW</t>
  </si>
  <si>
    <t>4012 GEORGIA AVENUE NW</t>
  </si>
  <si>
    <t>2023/05/18 00:00:00+00</t>
  </si>
  <si>
    <t>429 13th Street Northeast, Washington, District of Columbia 20002</t>
  </si>
  <si>
    <t>Kingsman (the), 429 13th Street NE</t>
  </si>
  <si>
    <t>429 13TH STREET NE</t>
  </si>
  <si>
    <t>2025/12/08 00:00:00+00</t>
  </si>
  <si>
    <t>4905 Georgia Avenue Northwest, Washington, District of Columbia 20011</t>
  </si>
  <si>
    <t>4905 Georgia Ave. NW</t>
  </si>
  <si>
    <t>4905 GEORGIA AVENUE NW</t>
  </si>
  <si>
    <t>2025/12/15 00:00:00+00</t>
  </si>
  <si>
    <t>1020 Florida Avenue Northeast, Washington, District of Columbia 20002</t>
  </si>
  <si>
    <t>1020 Florida Ave. NE</t>
  </si>
  <si>
    <t>1020 FLORIDA AVENUE NE</t>
  </si>
  <si>
    <t>38 Porter Street Northeast, Washington, District of Columbia 20002</t>
  </si>
  <si>
    <t>38 Porter St. NE</t>
  </si>
  <si>
    <t>38 PORTER STREET NE</t>
  </si>
  <si>
    <t>1031 Kearny Street Northeast, Washington, District of Columbia 20017</t>
  </si>
  <si>
    <t>1031 Kearny St. NE</t>
  </si>
  <si>
    <t>1031 KEARNY STREET NE</t>
  </si>
  <si>
    <t>2024/12/26 00:00:00+00</t>
  </si>
  <si>
    <t>1358 Florida Avenue Northeast, Washington, District of Columbia 20002</t>
  </si>
  <si>
    <t>1358 Florida Ave. NE</t>
  </si>
  <si>
    <t>1358 FLORIDA AVENUE NE</t>
  </si>
  <si>
    <t>2025/07/18 00:00:00+00</t>
  </si>
  <si>
    <t>826 Kennedy Street Northwest, Washington, District of Columbia 20011</t>
  </si>
  <si>
    <t>826 Kennedy St. NW</t>
  </si>
  <si>
    <t>826 KENNEDY STREET NW</t>
  </si>
  <si>
    <t>2024/07/08 00:00:00+00</t>
  </si>
  <si>
    <t>400 Florida Avenue Northeast, Washington, District of Columbia 20002</t>
  </si>
  <si>
    <t>400 Florida Ave. NE</t>
  </si>
  <si>
    <t>16-10</t>
  </si>
  <si>
    <t>400 FLORIDA AVENUE NE</t>
  </si>
  <si>
    <t>2022/05/18 00:00:00+00</t>
  </si>
  <si>
    <t>2801 14th Street Northwest, Washington, District of Columbia 20009</t>
  </si>
  <si>
    <t>Carl F. West Estates</t>
  </si>
  <si>
    <t>2801 14TH STREET NW</t>
  </si>
  <si>
    <t>2025/09/24 00:00:00+00</t>
  </si>
  <si>
    <t>3301 23rd Street Southeast, Washington, District of Columbia 20020</t>
  </si>
  <si>
    <t>Terrace Manor Apartments 2019 RFP</t>
  </si>
  <si>
    <t>19-19</t>
  </si>
  <si>
    <t>3301 23RD STREET SE</t>
  </si>
  <si>
    <t>2024/07/29 00:00:00+00</t>
  </si>
  <si>
    <t>4518 3rd Street Southeast, Washington, District of Columbia 20032</t>
  </si>
  <si>
    <t>Worthington Woods Apartments</t>
  </si>
  <si>
    <t>4518 3RD STREET SE</t>
  </si>
  <si>
    <t>2025/04/04 00:00:00+00</t>
  </si>
  <si>
    <t>7175 12th Street Northwest, Washington, District of Columbia 20012</t>
  </si>
  <si>
    <t>WRAMC - The Kite House (Building O)</t>
  </si>
  <si>
    <t>7175 12TH STREET NW</t>
  </si>
  <si>
    <t>2023/07/05 00:00:00+00</t>
  </si>
  <si>
    <t>1155 Dahlia Street Northwest, Washington, District of Columbia 20012</t>
  </si>
  <si>
    <t>WRAMC - 1155 Dahlia Street (Building P)</t>
  </si>
  <si>
    <t>1155 DAHLIA STREET NW</t>
  </si>
  <si>
    <t>2023/03/02 00:00:00+00</t>
  </si>
  <si>
    <t>2305 Nicholson Street Southeast, Washington, District of Columbia 20020</t>
  </si>
  <si>
    <t>2305 Nicholson St. SE</t>
  </si>
  <si>
    <t>2305 NICHOLSON STREET SE</t>
  </si>
  <si>
    <t>2024/08/16 00:00:00+00</t>
  </si>
  <si>
    <t>611 Florida Avenue Northwest, Washington, District of Columbia 20001</t>
  </si>
  <si>
    <t>611 Florida Ave. NW</t>
  </si>
  <si>
    <t>611 FLORIDA AVENUE NW</t>
  </si>
  <si>
    <t>2023/01/31 00:00:00+00</t>
  </si>
  <si>
    <t>4865 Macarthur Boulevard Northwest, Washington, District of Columbia 20007</t>
  </si>
  <si>
    <t>Fitzgerald of Palisades</t>
  </si>
  <si>
    <t>4865 MACARTHUR BOULEVARD NW</t>
  </si>
  <si>
    <t>2025/06/02 00:00:00+00</t>
  </si>
  <si>
    <t>3934 14th Street Northwest, Washington, District of Columbia 20011</t>
  </si>
  <si>
    <t>14th Street Condos</t>
  </si>
  <si>
    <t>3934 14TH STREET NW</t>
  </si>
  <si>
    <t>2024/04/03 00:00:00+00</t>
  </si>
  <si>
    <t>1325 5th Street Northeast, Washington, District of Columbia 20002</t>
  </si>
  <si>
    <t>Union Market PUD North Building</t>
  </si>
  <si>
    <t>14-12E</t>
  </si>
  <si>
    <t>1325 5TH STREET NE</t>
  </si>
  <si>
    <t>2023/08/03 00:00:00+00</t>
  </si>
  <si>
    <t>2237 12th Street Northwest, Washington, District of Columbia 20009</t>
  </si>
  <si>
    <t>2237 12th St NW</t>
  </si>
  <si>
    <t>2237 12TH STREET NW</t>
  </si>
  <si>
    <t>2021/08/20 00:00:00+00</t>
  </si>
  <si>
    <t>2243 12th Street Northwest, Washington, District of Columbia 20009</t>
  </si>
  <si>
    <t>2241-2243 12th Street Northwest</t>
  </si>
  <si>
    <t>2243 12TH STREET NW</t>
  </si>
  <si>
    <t>1036 Newton Street NE, Washington, District of Columbia 20017</t>
  </si>
  <si>
    <t>1036 Newton Street NE</t>
  </si>
  <si>
    <t>1036 NEWTON STREET NE</t>
  </si>
  <si>
    <t>2024/05/09 00:00:00+00</t>
  </si>
  <si>
    <t>1002 Rhode Island Avenue Northeast, Washington, District of Columbia 20018</t>
  </si>
  <si>
    <t>1002 Rhode Island Avenue Northeast</t>
  </si>
  <si>
    <t>1002 RHODE ISLAND AVENUE NE</t>
  </si>
  <si>
    <t>2024/04/29 00:00:00+00</t>
  </si>
  <si>
    <t>225 Vine Street Northwest, Washington, District of Columbia 20012</t>
  </si>
  <si>
    <t>225 Vine Street Northwest</t>
  </si>
  <si>
    <t>225 VINE STREET NW</t>
  </si>
  <si>
    <t>2023/08/28 00:00:00+00</t>
  </si>
  <si>
    <t>912 U Street Northwest, Washington, District of Columbia 20001</t>
  </si>
  <si>
    <t>Grimke Elementary School Phase 1 - The Fold</t>
  </si>
  <si>
    <t>912 U STREET NW</t>
  </si>
  <si>
    <t>2021/12/23 00:00:00+00</t>
  </si>
  <si>
    <t>1328 16th Street Northwest, Washington, District of Columbia 20036</t>
  </si>
  <si>
    <t>1650 O Street Northwest (1328 16th St NW)</t>
  </si>
  <si>
    <t>1328 16TH STREET NW</t>
  </si>
  <si>
    <t>4501 Blaine Street Northeast, Washington, District of Columbia 20019</t>
  </si>
  <si>
    <t>Residences at Benning Road (4501 Blaine St NE)</t>
  </si>
  <si>
    <t>DCHFA DHCD Amazon Housing Equity Fund</t>
  </si>
  <si>
    <t>4501 BLAINE STREET NE</t>
  </si>
  <si>
    <t>2005 11th Street Northwest, Washington, District of Columbia 20001</t>
  </si>
  <si>
    <t>2005 11th Street Northwest</t>
  </si>
  <si>
    <t>2005 11TH STREET NW</t>
  </si>
  <si>
    <t>2601 30th Street Northeast, Washington, District of Columbia 20018</t>
  </si>
  <si>
    <t>2601 30th Street Northeast</t>
  </si>
  <si>
    <t>2601 30TH STREET NE</t>
  </si>
  <si>
    <t>2024/09/24 00:00:00+00</t>
  </si>
  <si>
    <t>1395 Aspen Street Northwest, Washington, District of Columbia 20012</t>
  </si>
  <si>
    <t>WRAMC - SOME Karin House (Building 17)</t>
  </si>
  <si>
    <t>1395 ASPEN STREET NW</t>
  </si>
  <si>
    <t>2022/03/18 00:00:00+00</t>
  </si>
  <si>
    <t>5907 Dix Street Northeast, Washington, District of Columbia 20019</t>
  </si>
  <si>
    <t>Dix Street Manna</t>
  </si>
  <si>
    <t>5907 DIX STREET NE</t>
  </si>
  <si>
    <t>No construction end date and no case id</t>
  </si>
  <si>
    <t>2483 Alabama Avenue Southeast, Washington, District of Columbia 20020</t>
  </si>
  <si>
    <t>2483 Alabama Avenue Apartments</t>
  </si>
  <si>
    <t>2483 ALABAMA AVENUE SE</t>
  </si>
  <si>
    <t>2025/02/03 00:00:00+00</t>
  </si>
  <si>
    <t>4726 Sheriff Road Northeast, Washington, District of Columbia 20019</t>
  </si>
  <si>
    <t>Deanwood Station</t>
  </si>
  <si>
    <t>21-21</t>
  </si>
  <si>
    <t>4726 SHERIFF ROAD NE</t>
  </si>
  <si>
    <t xml:space="preserve">No construction end date </t>
  </si>
  <si>
    <t>737 50th Street Northeast, Washington, District of Columbia 20019</t>
  </si>
  <si>
    <t>H.R. Crawford Gardens</t>
  </si>
  <si>
    <t>737 50TH STREET NE</t>
  </si>
  <si>
    <t>2025/08/20 00:00:00+00</t>
  </si>
  <si>
    <t>429 Kennedy Street Northwest, Washington, District of Columbia 20011</t>
  </si>
  <si>
    <t>429 - 431 Kennedy Street NW</t>
  </si>
  <si>
    <t>429 KENNEDY STREET NW</t>
  </si>
  <si>
    <t>2024/10/15 00:00:00+00</t>
  </si>
  <si>
    <t>2001 I Street Northeast, Washington, District of Columbia 20002</t>
  </si>
  <si>
    <t>2001 I Street NE</t>
  </si>
  <si>
    <t>2001 I STREET NE</t>
  </si>
  <si>
    <t>2023/08/21 00:00:00+00</t>
  </si>
  <si>
    <t>22 Kennedy Street Northwest, Washington, District of Columbia 20011</t>
  </si>
  <si>
    <t>22 Kennedy St. Condos</t>
  </si>
  <si>
    <t>22 KENNEDY STREET NW</t>
  </si>
  <si>
    <t>2025/03/26 00:00:00+00</t>
  </si>
  <si>
    <t>726 51st Street Northeast, Washington, District of Columbia 20019</t>
  </si>
  <si>
    <t>726 51st St NE</t>
  </si>
  <si>
    <t>726 51ST STREET NE</t>
  </si>
  <si>
    <t>218 Vine Street - 9%</t>
  </si>
  <si>
    <t>20 Ridge Square Northwest, Washington, District of Columbia 20016</t>
  </si>
  <si>
    <t>City Ridge (former Fannie Mae) - Pkg 04</t>
  </si>
  <si>
    <t>20 RIDGE SQUARE NW</t>
  </si>
  <si>
    <t>2022/08/30 00:00:00+00</t>
  </si>
  <si>
    <t>4000 Wisconsin Avenue Northwest, Washington, District of Columbia 20016</t>
  </si>
  <si>
    <t>Upton Place - 4000 Wisconsin Ave NW</t>
  </si>
  <si>
    <t>4000 WISCONSIN AVENUE NW</t>
  </si>
  <si>
    <t>3408 Connecticut Avenue Northwest, Washington, District of Columbia 20008</t>
  </si>
  <si>
    <t>3400 - 3408 Connecticut Ave. NW</t>
  </si>
  <si>
    <t>3408 CONNECTICUT AVENUE NW</t>
  </si>
  <si>
    <t>2025/07/01 00:00:00+00</t>
  </si>
  <si>
    <t>4111 Connecticut Avenue Northwest, Washington, District of Columbia 20008</t>
  </si>
  <si>
    <t>The Claire - 4111-4113 Connecticut Ave</t>
  </si>
  <si>
    <t>4111 CONNECTICUT AVENUE NW</t>
  </si>
  <si>
    <t>721 16th Street Northeast, Washington, District of Columbia 20002</t>
  </si>
  <si>
    <t>721 16th St NE</t>
  </si>
  <si>
    <t>721 16TH STREET NE</t>
  </si>
  <si>
    <t>2023/07/26 00:00:00+00</t>
  </si>
  <si>
    <t>113 Potomac Avenue Southwest, Washington, District of Columbia 20024</t>
  </si>
  <si>
    <t>Vermeer - 113 Potomac Ave SW</t>
  </si>
  <si>
    <t>113 POTOMAC AVENUE SW</t>
  </si>
  <si>
    <t>2024/12/29 00:00:00+00</t>
  </si>
  <si>
    <t>1006 Florida Avenue Northeast, Washington, District of Columbia 20002</t>
  </si>
  <si>
    <t>Florida Ave. Flats, 1006 Florida Ave. NE</t>
  </si>
  <si>
    <t>1006 FLORIDA AVENUE NE</t>
  </si>
  <si>
    <t>2024/05/01 00:00:00+00</t>
  </si>
  <si>
    <t>2365 Rhode Island Avenue Northeast, Washington, District of Columbia 20018</t>
  </si>
  <si>
    <t>2365 Rhode Island Ave. NE</t>
  </si>
  <si>
    <t>2365 RHODE ISLAND AVENUE NE</t>
  </si>
  <si>
    <t>1019 17th Place Northeast, Washington, District of Columbia 20002</t>
  </si>
  <si>
    <t>1019 17th Place NE</t>
  </si>
  <si>
    <t>1019 17TH PLACE NE</t>
  </si>
  <si>
    <t>2022/04/27 00:00:00+00</t>
  </si>
  <si>
    <t>1009 Rhode Island Avenue Northeast, Washington, District of Columbia 20018</t>
  </si>
  <si>
    <t>1009 Rhode Island Ave. NE</t>
  </si>
  <si>
    <t>1009 RHODE ISLAND AVENUE NE</t>
  </si>
  <si>
    <t>1015 Spring Road Northwest, Washington, District of Columbia 20010</t>
  </si>
  <si>
    <t>The Rows at Spring Flats</t>
  </si>
  <si>
    <t>1015 SPRING ROAD NW</t>
  </si>
  <si>
    <t>2023/01/17 00:00:00+00</t>
  </si>
  <si>
    <t>5455 Western Avenue Northwest, Washington, District of Columbia 20015</t>
  </si>
  <si>
    <t>Lisner Home Senior Residential</t>
  </si>
  <si>
    <t>21-11</t>
  </si>
  <si>
    <t>5455 WESTERN AVENUE NW</t>
  </si>
  <si>
    <t>5300 Wisconsin Avenue Northwest, Washington, District of Columbia 20015</t>
  </si>
  <si>
    <t>Mazza Gallerie Redevelopment</t>
  </si>
  <si>
    <t>5300 WISCONSIN AVENUE NW</t>
  </si>
  <si>
    <t>5333 Wisconsin Avenue Northwest, Washington, District of Columbia 20015</t>
  </si>
  <si>
    <t>Friendship Center Redevelopment - 5333 Wisconsin Ave</t>
  </si>
  <si>
    <t>96-13A</t>
  </si>
  <si>
    <t>5333 WISCONSIN AVENUE NW</t>
  </si>
  <si>
    <t>732 Kennedy Street Northwest, Washington, District of Columbia 20011</t>
  </si>
  <si>
    <t>732 Kennedy St NW</t>
  </si>
  <si>
    <t>732 KENNEDY STREET NW</t>
  </si>
  <si>
    <t>325 Morse Street Northeast, Washington, District of Columbia 20002</t>
  </si>
  <si>
    <t>The Gantry  (Building B) - Union Market Terminal Stage 1 Consolidated PUD</t>
  </si>
  <si>
    <t>325 MORSE STREET NE</t>
  </si>
  <si>
    <t>2021/07/29 00:00:00+00</t>
  </si>
  <si>
    <t>300 Neal Place Northeast, Washington, District of Columbia 20002</t>
  </si>
  <si>
    <t>Building D (Theory) - Union Market Terminal Stage 2 PUD</t>
  </si>
  <si>
    <t>15-27E</t>
  </si>
  <si>
    <t>300 NEAL PLACE NE</t>
  </si>
  <si>
    <t>1325 27th Street Southeast, Washington, District of Columbia 20020</t>
  </si>
  <si>
    <t>Park27 - Minnesota and 27th</t>
  </si>
  <si>
    <t>1325 27TH STREET SE</t>
  </si>
  <si>
    <t>33 K Street Northwest, Washington, District of Columbia 20001</t>
  </si>
  <si>
    <t>Northwest One - Phase II</t>
  </si>
  <si>
    <t>33 K STREET NW</t>
  </si>
  <si>
    <t>2025/01/14 00:00:00+00</t>
  </si>
  <si>
    <t>30 Ridge Square Northwest, Washington, District of Columbia 20016</t>
  </si>
  <si>
    <t>City Ridge (former Fannie Mae) - Pkg 03</t>
  </si>
  <si>
    <t>30 RIDGE SQUARE NW</t>
  </si>
  <si>
    <t>2022/05/24 00:00:00+00</t>
  </si>
  <si>
    <t>3923 14th Street Northwest, Washington, District of Columbia 20011</t>
  </si>
  <si>
    <t>3923 14th Street NW</t>
  </si>
  <si>
    <t>3923 14TH STREET NW</t>
  </si>
  <si>
    <t>5717 Dix Street Northeast, Washington, District of Columbia 20019</t>
  </si>
  <si>
    <t>Dix Street Residences</t>
  </si>
  <si>
    <t>5717 DIX STREET NE</t>
  </si>
  <si>
    <t>2024/12/16 00:00:00+00</t>
  </si>
  <si>
    <t>1400 Aspen Street Northwest, Washington, District of Columbia 20012</t>
  </si>
  <si>
    <t>Aspen Street Cooperative</t>
  </si>
  <si>
    <t>1400 ASPEN STREET NW</t>
  </si>
  <si>
    <t>2020/02/19 00:00:00+00</t>
  </si>
  <si>
    <t>3220 Prospect Street Northwest, Washington, District of Columbia 20007</t>
  </si>
  <si>
    <t>3220 Prospect Street NW</t>
  </si>
  <si>
    <t>3220 PROSPECT STREET NW</t>
  </si>
  <si>
    <t>2024/08/13 00:00:00+00</t>
  </si>
  <si>
    <t>2385 Rhode Island Avenue Northeast, Washington, District of Columbia 20018</t>
  </si>
  <si>
    <t>2385 Rhode Island Ave. NE</t>
  </si>
  <si>
    <t>2385 RHODE ISLAND AVENUE NE</t>
  </si>
  <si>
    <t>2024/11/08 00:00:00+00</t>
  </si>
  <si>
    <t>1301 11th Street Northwest, Washington, District of Columbia 20001</t>
  </si>
  <si>
    <t>New Bethany Apartments (1301 11th Street NW)</t>
  </si>
  <si>
    <t>1301 11TH STREET NW</t>
  </si>
  <si>
    <t>2711 Georgia Avenue Northwest, Washington, District of Columbia 20001</t>
  </si>
  <si>
    <t>2711 Georgia Ave. NW</t>
  </si>
  <si>
    <t>2711 GEORGIA AVENUE NW</t>
  </si>
  <si>
    <t>2024/08/01 00:00:00+00</t>
  </si>
  <si>
    <t>1319 South Capitol Street Southwest, Washington, District of Columbia 20003</t>
  </si>
  <si>
    <t>1319 South Capitol St. SW</t>
  </si>
  <si>
    <t>1319 SOUTH CAPITOL STREET SW</t>
  </si>
  <si>
    <t>2024/02/20 00:00:00+00</t>
  </si>
  <si>
    <t>2225 M Street Northeast, Washington, District of Columbia 20002</t>
  </si>
  <si>
    <t>2229 M Street NE</t>
  </si>
  <si>
    <t>22-21</t>
  </si>
  <si>
    <t>2225 M STREET NE</t>
  </si>
  <si>
    <t>1730 Montello Avenue Northeast, Washington, District of Columbia 20002</t>
  </si>
  <si>
    <t>1730 Montello Ave. NE</t>
  </si>
  <si>
    <t>1730 MONTELLO AVENUE NE</t>
  </si>
  <si>
    <t>2024/10/22 00:00:00+00</t>
  </si>
  <si>
    <t>828 Taylor Street Northeast, Washington, District of Columbia 20017</t>
  </si>
  <si>
    <t>828 Taylor St. NE</t>
  </si>
  <si>
    <t>828 TAYLOR STREET NE</t>
  </si>
  <si>
    <t>2024/08/12 00:00:00+00</t>
  </si>
  <si>
    <t>824 Taylor Street Northeast, Washington, District of Columbia 20017</t>
  </si>
  <si>
    <t>824 Taylor Street NE</t>
  </si>
  <si>
    <t>824 TAYLOR STREET NE</t>
  </si>
  <si>
    <t>2024/01/11 00:00:00+00</t>
  </si>
  <si>
    <t>1011 Rhode Island Avenue Northeast, Washington, District of Columbia 20018</t>
  </si>
  <si>
    <t>1011 Rhode Island Ave. NE</t>
  </si>
  <si>
    <t>1011 RHODE ISLAND AVENUE NE</t>
  </si>
  <si>
    <t>2023/11/08 00:00:00+00</t>
  </si>
  <si>
    <t>2359 Ontario Road Northwest, Washington, District of Columbia 20009</t>
  </si>
  <si>
    <t>2359-2401 Ontario Road NW</t>
  </si>
  <si>
    <t>2359 ONTARIO ROAD NW</t>
  </si>
  <si>
    <t>5759 13th Street Northwest, Washington, District of Columbia 20011</t>
  </si>
  <si>
    <t>5759-61 13th St NW</t>
  </si>
  <si>
    <t>5759 13TH STREET NW</t>
  </si>
  <si>
    <t>2020/08/25 00:00:00+00</t>
  </si>
  <si>
    <t>2585 Naylor Road Southeast, Washington, District of Columbia 20020</t>
  </si>
  <si>
    <t>LIHTC Small Building Pool- NYT</t>
  </si>
  <si>
    <t>2585 NAYLOR ROAD SE</t>
  </si>
  <si>
    <t>2021/09/29 00:00:00+00</t>
  </si>
  <si>
    <t>1507 19th Street Southeast, Washington, District of Columbia 20020</t>
  </si>
  <si>
    <t>19th Street Apartments</t>
  </si>
  <si>
    <t>1507 19TH STREET SE</t>
  </si>
  <si>
    <t>2020/09/22 00:00:00+00</t>
  </si>
  <si>
    <t>2023 4th Street Northeast, Washington, District of Columbia 20002</t>
  </si>
  <si>
    <t>Angel's Gate</t>
  </si>
  <si>
    <t>2023 4TH STREET NE</t>
  </si>
  <si>
    <t>2022/03/29 00:00:00+00</t>
  </si>
  <si>
    <t>2652 Martin Luther King Jr Avenue Southeast, Washington, District of Columbia 20020</t>
  </si>
  <si>
    <t>Parkway House Apartments</t>
  </si>
  <si>
    <t>2652 MARTIN LUTHER KING JR AVENUE SE</t>
  </si>
  <si>
    <t>2022/08/04 00:00:00+00</t>
  </si>
  <si>
    <t>950 South Capitol Street Southeast, Washington, District of Columbia 20003</t>
  </si>
  <si>
    <t>950 South Cap Street SE</t>
  </si>
  <si>
    <t>17-25</t>
  </si>
  <si>
    <t>950 SOUTH CAPITOL STREET SE</t>
  </si>
  <si>
    <t>2020/07/22 00:00:00+00</t>
  </si>
  <si>
    <t>1800 Hamlin Street Northeast, Washington, District of Columbia 20018</t>
  </si>
  <si>
    <t>Pleasant Grove Baptist Church Development</t>
  </si>
  <si>
    <t>23-18</t>
  </si>
  <si>
    <t>1800 HAMLIN STREET NE</t>
  </si>
  <si>
    <t>No construction end date and missing agency</t>
  </si>
  <si>
    <t>7050 Eastern Avenue Northwest, Washington, District of Columbia 20012</t>
  </si>
  <si>
    <t>Elm Gardens Redevelopment</t>
  </si>
  <si>
    <t>23-19</t>
  </si>
  <si>
    <t>7050 EASTERN AVENUE NW</t>
  </si>
  <si>
    <t>1708 1st Street Northeast, Washington, District of Columbia 20002</t>
  </si>
  <si>
    <t>Eckington Mews PUD</t>
  </si>
  <si>
    <t>23-24</t>
  </si>
  <si>
    <t>1708 1ST STREET NE</t>
  </si>
  <si>
    <t>1610 16th Street Northwest, Washington, District of Columbia 20009</t>
  </si>
  <si>
    <t>Ravenel - Amazon Acquisition</t>
  </si>
  <si>
    <t>Amazon Housing Equity Fund</t>
  </si>
  <si>
    <t>1610 16TH STREET NW</t>
  </si>
  <si>
    <t>2024/01/02 00:00:00+00</t>
  </si>
  <si>
    <t>2637 16th Street Northwest, Washington, District of Columbia 20009</t>
  </si>
  <si>
    <t>Park Meridian - Amazon Acquisition</t>
  </si>
  <si>
    <t>2637 16TH STREET NW</t>
  </si>
  <si>
    <t>2024/01/03 00:00:00+00</t>
  </si>
  <si>
    <t>1701 Park Road Northwest, Washington, District of Columbia 20010</t>
  </si>
  <si>
    <t>Park Regent - Amazon Acquisition</t>
  </si>
  <si>
    <t>1701 PARK ROAD NW</t>
  </si>
  <si>
    <t>26 14th Street Southeast, Washington, District of Columbia 20003</t>
  </si>
  <si>
    <t>26 14th St SE</t>
  </si>
  <si>
    <t>26 14TH STREET SE</t>
  </si>
  <si>
    <t>3500 12th Street Northeast, Washington, District of Columbia 20017</t>
  </si>
  <si>
    <t>12th Street NE Miller</t>
  </si>
  <si>
    <t>3500 12TH STREET NE</t>
  </si>
  <si>
    <t>2151 California Street Northwest, Washington, District of Columbia 20008</t>
  </si>
  <si>
    <t>The Bobbi - Substantial Rehab</t>
  </si>
  <si>
    <t>2151 CALIFORNIA STREET NW</t>
  </si>
  <si>
    <t>3218 Wisconsin Avenue Northwest, Washington, District of Columbia 20016</t>
  </si>
  <si>
    <t>3218 Wisconsin Ave NW - Substantial Rehab</t>
  </si>
  <si>
    <t>3218 WISCONSIN AVENUE NW</t>
  </si>
  <si>
    <t>3400 Commodore Joshua Barney Drive Northeast, Washington, District of Columbia 20018</t>
  </si>
  <si>
    <t>Wesley House - Preservation</t>
  </si>
  <si>
    <t>3400 COMMODORE JOSHUA BARNEY DRIVE NE</t>
  </si>
  <si>
    <t>2917 Knox Place Southeast, Washington, District of Columbia 20020</t>
  </si>
  <si>
    <t>2917 Knox Place SE</t>
  </si>
  <si>
    <t>2917 KNOX PLACE SE</t>
  </si>
  <si>
    <t>5835 Colorado Avenue Northwest, Washington, District of Columbia 20011</t>
  </si>
  <si>
    <t>5835 Colorado Condominium</t>
  </si>
  <si>
    <t>5835 COLORADO AVENUE NW</t>
  </si>
  <si>
    <t>1000 H Street Northeast, Washington, District of Columbia 20002</t>
  </si>
  <si>
    <t>1000 H Street NE</t>
  </si>
  <si>
    <t>1000 H STREET NE</t>
  </si>
  <si>
    <t>5301 Georgia Avenue Northwest, Washington, District of Columbia 20011</t>
  </si>
  <si>
    <t>5301 Georgia Avenue NW</t>
  </si>
  <si>
    <t>5301 GEORGIA AVENUE NW</t>
  </si>
  <si>
    <t>2420 Martin Luther King Jr Avenue Southeast, Washington, District of Columbia 20020</t>
  </si>
  <si>
    <t>2420 Martin Luther King Jr. Ave. SE</t>
  </si>
  <si>
    <t>2420 MARTIN LUTHER KING JR AVENUE SE</t>
  </si>
  <si>
    <t>1836 Kalorama Road Northwest, Washington, District of Columbia 20009</t>
  </si>
  <si>
    <t>1836-1840 Kalorama Road NW</t>
  </si>
  <si>
    <t>1836 KALORAMA ROAD NW</t>
  </si>
  <si>
    <t>2025/10/15 00:00:00+00</t>
  </si>
  <si>
    <t>309 H Street Northeast, Washington, District of Columbia 20002</t>
  </si>
  <si>
    <t>309 H Street NE</t>
  </si>
  <si>
    <t>309 H STREET NE</t>
  </si>
  <si>
    <t>2005 M Street Northeast, Washington, District of Columbia 20002</t>
  </si>
  <si>
    <t>2005 M Street Condos</t>
  </si>
  <si>
    <t>2005 M STREET NE</t>
  </si>
  <si>
    <t>2530 Park Place Southeast, Washington, District of Columbia 20020</t>
  </si>
  <si>
    <t>Park Place</t>
  </si>
  <si>
    <t>2530 PARK PLACE SE</t>
  </si>
  <si>
    <t>5425 Western Avenue Northwest, Washington, District of Columbia 20015</t>
  </si>
  <si>
    <t>Lisner Home Senior Affordable Assisted Living</t>
  </si>
  <si>
    <t>5425 WESTERN AVENUE NW</t>
  </si>
  <si>
    <t>2023/03/30 00:00:00+00</t>
  </si>
  <si>
    <t>700 Kenilworth Terrace Northeast, Washington, District of Columbia 20019</t>
  </si>
  <si>
    <t>Parkside Parcel 10 - Parkside PUD Block F</t>
  </si>
  <si>
    <t>05-28RS</t>
  </si>
  <si>
    <t>700 KENILWORTH TERRACE NE</t>
  </si>
  <si>
    <t>2025/06/16 00:00:00+00</t>
  </si>
  <si>
    <t>2611 12th Place Southeast, Washington, District of Columbia 20020</t>
  </si>
  <si>
    <t>2611 12th Place Southeast</t>
  </si>
  <si>
    <t>2611 12TH PLACE SE</t>
  </si>
  <si>
    <t>2817 Buena Vista Terrace Southeast, Washington, District of Columbia 20020</t>
  </si>
  <si>
    <t>2817 Buena Vista Terrace SE</t>
  </si>
  <si>
    <t>2817 BUENA VISTA TERRACE SE</t>
  </si>
  <si>
    <t>5433 Georgia Avenue Northwest, Washington, District of Columbia 20011</t>
  </si>
  <si>
    <t>5433 Georgia Avenue NW</t>
  </si>
  <si>
    <t>5433 GEORGIA AVENUE NW</t>
  </si>
  <si>
    <t>214 Varnum Street Northwest, Washington, District of Columbia 20011</t>
  </si>
  <si>
    <t>214 Varnum Street NW</t>
  </si>
  <si>
    <t>214 VARNUM STREET NW</t>
  </si>
  <si>
    <t>2211 Minnesota Avenue Southeast, Washington, District of Columbia 20020</t>
  </si>
  <si>
    <t>2211 Minnesota Avenue SE</t>
  </si>
  <si>
    <t>2211 MINNESOTA AVENUE SE</t>
  </si>
  <si>
    <t>3461 14th Street Northwest, Washington, District of Columbia 20010</t>
  </si>
  <si>
    <t>3461 14th Street Northwest</t>
  </si>
  <si>
    <t>3461 14TH STREET NW</t>
  </si>
  <si>
    <t>4457 Macarthur Boulevard Northwest, Washington, District of Columbia 20007</t>
  </si>
  <si>
    <t>4457 Macarthur Boulevard NW</t>
  </si>
  <si>
    <t>4457 MACARTHUR BOULEVARD NW</t>
  </si>
  <si>
    <t>906 55th Street Northeast, Washington, District of Columbia 20019</t>
  </si>
  <si>
    <t>Deanwood/900 55th Street NE</t>
  </si>
  <si>
    <t>906 55TH STREET NE</t>
  </si>
  <si>
    <t>801 R Street Northwest, Washington, District of Columbia 20001</t>
  </si>
  <si>
    <t>Heritage at Shaw</t>
  </si>
  <si>
    <t>801 R STREET NW</t>
  </si>
  <si>
    <t>2024/10/30 00:00:00+00</t>
  </si>
  <si>
    <t>2015 Jackson Street Northeast, Washington, District of Columbia 20018</t>
  </si>
  <si>
    <t>2015 Jackson Street NE</t>
  </si>
  <si>
    <t>2015 JACKSON STREET NE</t>
  </si>
  <si>
    <t>806 14th Street Northeast, Washington, District of Columbia 20002</t>
  </si>
  <si>
    <t>On Fourteenth</t>
  </si>
  <si>
    <t>806 14TH STREET NE</t>
  </si>
  <si>
    <t>1716 Rhode Island Avenue Northeast, Washington, District of Columbia 20018</t>
  </si>
  <si>
    <t>1716 Rhode Island Avenue NE</t>
  </si>
  <si>
    <t>1716 RHODE ISLAND AVENUE NE</t>
  </si>
  <si>
    <t>1322 9th Street Northwest, Washington, District of Columbia 20001</t>
  </si>
  <si>
    <t>9th Street Residences</t>
  </si>
  <si>
    <t>1322 9TH STREET NW</t>
  </si>
  <si>
    <t>2739 Martin Luther King Jr Avenue Southeast, Washington, District of Columbia 20032</t>
  </si>
  <si>
    <t>2739 Martin Luther King Jr. Avenue SE</t>
  </si>
  <si>
    <t>2739 MARTIN LUTHER KING JR AVENUE SE</t>
  </si>
  <si>
    <t>1525 19th Street Southeast, Washington, District of Columbia 20020</t>
  </si>
  <si>
    <t>1525 19th Street Flats</t>
  </si>
  <si>
    <t>1525 19TH STREET SE</t>
  </si>
  <si>
    <t>646 H Street Northeast, Washington, District of Columbia 20002</t>
  </si>
  <si>
    <t>646 H St NE</t>
  </si>
  <si>
    <t>646 H STREET NE</t>
  </si>
  <si>
    <t>2020/03/19 00:00:00+00</t>
  </si>
  <si>
    <t>2601 Virginia Avenue Northwest, Washington, District of Columbia 20037</t>
  </si>
  <si>
    <t>Boathouse</t>
  </si>
  <si>
    <t>16-25</t>
  </si>
  <si>
    <t>2601 VIRGINIA AVENUE NW</t>
  </si>
  <si>
    <t>2020/03/11 00:00:00+00</t>
  </si>
  <si>
    <t>3619 Georgia Avenue Northwest, Washington, District of Columbia 20010</t>
  </si>
  <si>
    <t>3619 Georgia Ave NW</t>
  </si>
  <si>
    <t>3619 GEORGIA AVENUE NW</t>
  </si>
  <si>
    <t>2021/10/21 00:00:00+00</t>
  </si>
  <si>
    <t>50 Florida Avenue Northeast, Washington, District of Columbia 20002</t>
  </si>
  <si>
    <t>The Lexicon</t>
  </si>
  <si>
    <t>50 FLORIDA AVENUE NE</t>
  </si>
  <si>
    <t>2020/02/10 00:00:00+00</t>
  </si>
  <si>
    <t>2619 Bladensburg Road Northeast, Washington, District of Columbia 20018</t>
  </si>
  <si>
    <t>Diane's House</t>
  </si>
  <si>
    <t>2619 BLADENSBURG ROAD NE</t>
  </si>
  <si>
    <t>2020/06/04 00:00:00+00</t>
  </si>
  <si>
    <t>3110 Georgia Ave NW, Washington, District of Columbia 20010</t>
  </si>
  <si>
    <t>3110 &amp; 3112 Georgia Ave. NW</t>
  </si>
  <si>
    <t>3110 GEORGIA AVENUE NW</t>
  </si>
  <si>
    <t>2020/04/28 00:00:00+00</t>
  </si>
  <si>
    <t>1550 1st St SW, Washington, District of Columbia 20024</t>
  </si>
  <si>
    <t>1550 1st St SW</t>
  </si>
  <si>
    <t>17-13</t>
  </si>
  <si>
    <t>1550 1ST STREET SW</t>
  </si>
  <si>
    <t>2021/12/10 00:00:00+00</t>
  </si>
  <si>
    <t>6896 Laurel Street Northwest, Washington, District of Columbia 20012</t>
  </si>
  <si>
    <t>6896 Laurel St. NW (6830 Laurel)</t>
  </si>
  <si>
    <t>6896 LAUREL STREET NW</t>
  </si>
  <si>
    <t>2024/09/20 00:00:00+00</t>
  </si>
  <si>
    <t>1901 C Street Southeast, Washington, District of Columbia 20003</t>
  </si>
  <si>
    <t>Hill East Phase I - Park Kennedy (Parcel G-1)</t>
  </si>
  <si>
    <t>1901 C STREET SE</t>
  </si>
  <si>
    <t>2020/12/17 00:00:00+00</t>
  </si>
  <si>
    <t>1331 Yards Place Southeast, Washington, District of Columbia 20003</t>
  </si>
  <si>
    <t>The Yards - Parcel H</t>
  </si>
  <si>
    <t>21-06</t>
  </si>
  <si>
    <t>1331 YARDS PLACE SE</t>
  </si>
  <si>
    <t>2025/09/01 00:00:00+00</t>
  </si>
  <si>
    <t>101 V Street Southwest, Washington, District of Columbia 20593</t>
  </si>
  <si>
    <t>The Stacks Building B - The Byron</t>
  </si>
  <si>
    <t>101 V STREET SW</t>
  </si>
  <si>
    <t>2025/01/07 00:00:00+00</t>
  </si>
  <si>
    <t>2000 2nd Street Southwest, Washington, District of Columbia 20024</t>
  </si>
  <si>
    <t>The Stacks Building A - Everly</t>
  </si>
  <si>
    <t>2000 2ND STREET SW</t>
  </si>
  <si>
    <t>2025/03/01 00:00:00+00</t>
  </si>
  <si>
    <t>2099 1st Street SW, Washington, District of Columbia 20024</t>
  </si>
  <si>
    <t>The Stacks Building C - Colette</t>
  </si>
  <si>
    <t>2099 1ST STREET SW</t>
  </si>
  <si>
    <t>2025/05/28 00:00:00+00</t>
  </si>
  <si>
    <t>1617 Rhode Island Avenue Northeast, Washington, District of Columbia 20018</t>
  </si>
  <si>
    <t>1617 Rhode Island Ave NE</t>
  </si>
  <si>
    <t>1617 RHODE ISLAND AVENUE NE</t>
  </si>
  <si>
    <t>2022/08/24 00:00:00+00</t>
  </si>
  <si>
    <t>1100 Dahlia Street Northwest, Washington, District of Columbia 20012</t>
  </si>
  <si>
    <t>WRAMC - The Reynard (QRS)</t>
  </si>
  <si>
    <t>1100 DAHLIA STREET NW</t>
  </si>
  <si>
    <t>2024/09/25 00:00:00+00</t>
  </si>
  <si>
    <t>4256 Benning Road Northeast, Washington, District of Columbia 20019</t>
  </si>
  <si>
    <t>WCI Benning Apartments</t>
  </si>
  <si>
    <t>4256 BENNING ROAD NE</t>
  </si>
  <si>
    <t>2022/10/27 00:00:00+00</t>
  </si>
  <si>
    <t>Elm Gardens</t>
  </si>
  <si>
    <t>2321 Ontario Road Northwest, Washington, District of Columbia 20009</t>
  </si>
  <si>
    <t>2319 Ontario Road NW</t>
  </si>
  <si>
    <t>2321 ONTARIO ROAD NW</t>
  </si>
  <si>
    <t>2024/09/12 00:00:00+00</t>
  </si>
  <si>
    <t>1310 L Street Southeast, Washington, District of Columbia 20003</t>
  </si>
  <si>
    <t>1310-1312 L Street SE</t>
  </si>
  <si>
    <t>1310 L STREET SE</t>
  </si>
  <si>
    <t>4311 Sheriff Road Northeast, Washington, District of Columbia 20019</t>
  </si>
  <si>
    <t>4311 Sheriff Road NE</t>
  </si>
  <si>
    <t>4311 SHERIFF ROAD NE</t>
  </si>
  <si>
    <t>2025/01/31 00:00:00+00</t>
  </si>
  <si>
    <t>1641 R Street Northwest, Washington, District of Columbia 20009</t>
  </si>
  <si>
    <t>1641 R St NW</t>
  </si>
  <si>
    <t>1641 R STREET NW</t>
  </si>
  <si>
    <t>2025/05/01 00:00:00+00</t>
  </si>
  <si>
    <t>2213 M Street Northeast, Washington, District of Columbia 20002</t>
  </si>
  <si>
    <t>2213 M St NE</t>
  </si>
  <si>
    <t>2213 M STREET NE</t>
  </si>
  <si>
    <t>2023/11/03 00:00:00+00</t>
  </si>
  <si>
    <t>300 12th Street Southwest, Washington, District of Columbia 20024</t>
  </si>
  <si>
    <t>Cotton Annex (300 12th St SW)</t>
  </si>
  <si>
    <t>300 12TH STREET SW</t>
  </si>
  <si>
    <t>918 Kennedy Street Northwest, Washington, District of Columbia 20011</t>
  </si>
  <si>
    <t>918 Kennedy Apartments</t>
  </si>
  <si>
    <t>918 KENNEDY STREET NW</t>
  </si>
  <si>
    <t>1307 K Street Southeast, Washington, District of Columbia 20003</t>
  </si>
  <si>
    <t>1307 K Street SE</t>
  </si>
  <si>
    <t>1307 K STREET SE</t>
  </si>
  <si>
    <t>1627 Benning Road Northeast, Washington, District of Columbia 20002</t>
  </si>
  <si>
    <t>1627 Benning Road NE</t>
  </si>
  <si>
    <t>1627 BENNING ROAD NE</t>
  </si>
  <si>
    <t>2024/12/20 00:00:00+00</t>
  </si>
  <si>
    <t>2303 Elvans Road Southeast, Washington, District of Columbia 20020</t>
  </si>
  <si>
    <t>Overlook at Anacostia, 2303 Elvans Road SE</t>
  </si>
  <si>
    <t>2303 ELVANS ROAD SE</t>
  </si>
  <si>
    <t>2022/10/05 00:00:00+00</t>
  </si>
  <si>
    <t>2838 Langston Place Southeast, Washington, District of Columbia 20020</t>
  </si>
  <si>
    <t>2838 Langston Place SE</t>
  </si>
  <si>
    <t>2838 LANGSTON PLACE SE</t>
  </si>
  <si>
    <t>2024/08/06 00:00:00+00</t>
  </si>
  <si>
    <t>2601 14th Street Northwest, Washington, District of Columbia 20011</t>
  </si>
  <si>
    <t>Novel 14th (2601 14th Street NW)</t>
  </si>
  <si>
    <t>2601 14TH STREET NW</t>
  </si>
  <si>
    <t>2024/12/11 00:00:00+00</t>
  </si>
  <si>
    <t>733 8th Street Southeast, Washington, District of Columbia 20003</t>
  </si>
  <si>
    <t>733 8th Street SE</t>
  </si>
  <si>
    <t>733 8TH STREET SE</t>
  </si>
  <si>
    <t>2024/10/25 00:00:00+00</t>
  </si>
  <si>
    <t>632 Howard Road Southeast, Washington, District of Columbia 20020</t>
  </si>
  <si>
    <t>The Douglass (632 Howard Road SE) - Bridge District Phase I</t>
  </si>
  <si>
    <t>21-13</t>
  </si>
  <si>
    <t>632 HOWARD ROAD SE</t>
  </si>
  <si>
    <t>2025/05/23 00:00:00+00</t>
  </si>
  <si>
    <t>3308 Sherman Avenue Northwest, Washington, District of Columbia 20010</t>
  </si>
  <si>
    <t>La Union Buena Vista</t>
  </si>
  <si>
    <t>3308 SHERMAN AVENUE NW</t>
  </si>
  <si>
    <t>2022/11/23 00:00:00+00</t>
  </si>
  <si>
    <t>2474 Alabama Avenue Southeast, Washington, District of Columbia 20020</t>
  </si>
  <si>
    <t>Yoke Alabama Ave</t>
  </si>
  <si>
    <t>2474 ALABAMA AVENUE SE</t>
  </si>
  <si>
    <t>2022/11/16 00:00:00+00</t>
  </si>
  <si>
    <t>11 Nicholson Street Northwest, Washington, District of Columbia 20011</t>
  </si>
  <si>
    <t>11 Nicholson St NW</t>
  </si>
  <si>
    <t>11 NICHOLSON STREET NW</t>
  </si>
  <si>
    <t>2022/12/15 00:00:00+00</t>
  </si>
  <si>
    <t>3435 Holmead Place Northwest, Washington, District of Columbia 20010</t>
  </si>
  <si>
    <t>Wesley Holmead</t>
  </si>
  <si>
    <t>3435 HOLMEAD PLACE NW</t>
  </si>
  <si>
    <t>5501 7th Street Northwest, Washington, District of Columbia 20011</t>
  </si>
  <si>
    <t>5501-5503 7th Street NW</t>
  </si>
  <si>
    <t>5501 7TH STREET NW</t>
  </si>
  <si>
    <t>501 Kennedy Street Northwest, Washington, District of Columbia 20011</t>
  </si>
  <si>
    <t>501 Kennedy Street NW</t>
  </si>
  <si>
    <t>501 KENNEDY STREET NW</t>
  </si>
  <si>
    <t>2025/10/26 00:00:00+00</t>
  </si>
  <si>
    <t>1335 11th Street Northwest, Washington, District of Columbia 20001</t>
  </si>
  <si>
    <t>1335 11th Street NW</t>
  </si>
  <si>
    <t>1335 11TH STREET NW</t>
  </si>
  <si>
    <t>2025/07/29 00:00:00+00</t>
  </si>
  <si>
    <t>701 K Street Northeast, Washington, District of Columbia 20002</t>
  </si>
  <si>
    <t>701 K St NE Cooperative</t>
  </si>
  <si>
    <t>701 K STREET NE</t>
  </si>
  <si>
    <t>3831 Georgia Avenue Northwest, Washington, District of Columbia 20011</t>
  </si>
  <si>
    <t>Augusta Apartments (3831 Georgia Ave. NW)</t>
  </si>
  <si>
    <t>3831 GEORGIA AVENUE NW</t>
  </si>
  <si>
    <t>2023/04/03 00:00:00+00</t>
  </si>
  <si>
    <t>151 Q Street Northeast, Washington, District of Columbia 20002</t>
  </si>
  <si>
    <t>The Gale Eckington - TOPA New Covenant</t>
  </si>
  <si>
    <t>Amazon Housing Equity Fund ; Washington Housing Initiative</t>
  </si>
  <si>
    <t>151 Q STREET NE</t>
  </si>
  <si>
    <t>2022/12/16 00:00:00+00</t>
  </si>
  <si>
    <t>2200 Georgia Avenue Northwest, Washington, District of Columbia 20001</t>
  </si>
  <si>
    <t>Howard/Quadrangle Development (McDonald's)</t>
  </si>
  <si>
    <t>2200 GEORGIA AVENUE NW</t>
  </si>
  <si>
    <t>71 Kennedy Street Northwest, Washington, District of Columbia 20011</t>
  </si>
  <si>
    <t>5501 1st Street NW</t>
  </si>
  <si>
    <t>71 KENNEDY STREET NW</t>
  </si>
  <si>
    <t>423 Lamont Street Northwest, Washington, District of Columbia 20010</t>
  </si>
  <si>
    <t>423 Lamont Street NW</t>
  </si>
  <si>
    <t>423 LAMONT STREET NW</t>
  </si>
  <si>
    <t>2024/08/23 00:00:00+00</t>
  </si>
  <si>
    <t>2628 Martin Luther King Jr Avenue Southeast, Washington, District of Columbia 20020</t>
  </si>
  <si>
    <t>2628 Martin Luther King Jr. Ave SE</t>
  </si>
  <si>
    <t>2628 MARTIN LUTHER KING JR AVENUE SE</t>
  </si>
  <si>
    <t>423 13th Street Northeast, Washington, District of Columbia 20002</t>
  </si>
  <si>
    <t>423 13th Street NE</t>
  </si>
  <si>
    <t>423 13TH STREET NE</t>
  </si>
  <si>
    <t>2024/12/09 00:00:00+00</t>
  </si>
  <si>
    <t>2610 University Place Northwest, Washington, District of Columbia 20009</t>
  </si>
  <si>
    <t>2610 University Place NW</t>
  </si>
  <si>
    <t>2610 UNIVERSITY PLACE NW</t>
  </si>
  <si>
    <t>2025/03/11 00:00:00+00</t>
  </si>
  <si>
    <t>1613 22nd Street Southeast, Washington, District of Columbia 20020</t>
  </si>
  <si>
    <t>1613-1617 22nd St. SE</t>
  </si>
  <si>
    <t>1613 22ND STREET SE</t>
  </si>
  <si>
    <t>929 19th Street Northeast, Washington, District of Columbia 20002</t>
  </si>
  <si>
    <t>929 19th Street NE</t>
  </si>
  <si>
    <t>929 19TH STREET NE</t>
  </si>
  <si>
    <t>1313 Pennsylvania Avenue Southeast, Washington, District of Columbia 20003</t>
  </si>
  <si>
    <t>1313 Pennsylvania Residences</t>
  </si>
  <si>
    <t>1313 PENNSYLVANIA AVENUE SE</t>
  </si>
  <si>
    <t>2024/09/10 00:00:00+00</t>
  </si>
  <si>
    <t>1812 H Place Northeast, Washington, District of Columbia 20002</t>
  </si>
  <si>
    <t>1812 H Place NE</t>
  </si>
  <si>
    <t>1812 H PLACE NE</t>
  </si>
  <si>
    <t>2025/12/19 00:00:00+00</t>
  </si>
  <si>
    <t>3132 16th Street Northwest, Washington, District of Columbia 20010</t>
  </si>
  <si>
    <t>Mount Pleasant Preservation Project - Sarbin Towers, Park Marconi, Richman Towers</t>
  </si>
  <si>
    <t>3132 16TH STREET NW</t>
  </si>
  <si>
    <t>2022/10/07 00:00:00+00</t>
  </si>
  <si>
    <t>630 Kenilworth Terrace Northeast, Washington, District of Columbia 20019</t>
  </si>
  <si>
    <t>Parkside Parcel 8 - Parkside PUD Block F</t>
  </si>
  <si>
    <t>630 KENILWORTH TERRACE NE</t>
  </si>
  <si>
    <t>2024/06/05 00:00:00+00</t>
  </si>
  <si>
    <t>2570 Sherman Avenue Northwest, Washington, District of Columbia 20001</t>
  </si>
  <si>
    <t xml:space="preserve">Baldwin House Cooperative	</t>
  </si>
  <si>
    <t>2570 SHERMAN AVENUE NW</t>
  </si>
  <si>
    <t>2023/05/31 00:00:00+00</t>
  </si>
  <si>
    <t>The Bobbi (fka The Amelia &amp; Paul Apartments) - Acquisition/Critical Repairs</t>
  </si>
  <si>
    <t>2023/05/25 00:00:00+00</t>
  </si>
  <si>
    <t>1349 Kenyon Street Northwest, Washington, District of Columbia 20010</t>
  </si>
  <si>
    <t>Kenyon House</t>
  </si>
  <si>
    <t>1349 KENYON STREET NW</t>
  </si>
  <si>
    <t>250 K Street Northeast, Washington, District of Columbia 20002</t>
  </si>
  <si>
    <t>Loree Grand - New Covenant (WHC/Amazon)</t>
  </si>
  <si>
    <t>250 K STREET NE</t>
  </si>
  <si>
    <t>2022/12/21 00:00:00+00</t>
  </si>
  <si>
    <t>1100 Bladensburg Road Northeast, Washington, District of Columbia 20002</t>
  </si>
  <si>
    <t>1100 Bladensburg Condos</t>
  </si>
  <si>
    <t>1100 BLADENSBURG ROAD NE</t>
  </si>
  <si>
    <t>2023/07/11 00:00:00+00</t>
  </si>
  <si>
    <t>850 20th Street Northeast, Washington, District of Columbia 20002</t>
  </si>
  <si>
    <t>850-854 20th Street NE</t>
  </si>
  <si>
    <t>850 20TH STREET NE</t>
  </si>
  <si>
    <t>3829 14th Street Northwest, Washington, District of Columbia 20011</t>
  </si>
  <si>
    <t>3829-3831 14th Street NW</t>
  </si>
  <si>
    <t>3829 14TH STREET NW</t>
  </si>
  <si>
    <t>232 Parker Street Northeast, Washington, District of Columbia 20002</t>
  </si>
  <si>
    <t>232 Parker St. Residences</t>
  </si>
  <si>
    <t>232 PARKER STREET NE</t>
  </si>
  <si>
    <t>1201 L Street Northwest, Washington, District of Columbia 20005</t>
  </si>
  <si>
    <t>1201 L St NW</t>
  </si>
  <si>
    <t>1201 L STREET NW</t>
  </si>
  <si>
    <t>611 Edgewood Street Northeast, Washington, District of Columbia 20017</t>
  </si>
  <si>
    <t>Edgewood 611/Edgewood Gardens</t>
  </si>
  <si>
    <t>611 EDGEWOOD STREET NE</t>
  </si>
  <si>
    <t>2025/08/12 00:00:00+00</t>
  </si>
  <si>
    <t>4915 Quarles Street Northeast, Washington, District of Columbia 20019</t>
  </si>
  <si>
    <t>4915 Quarles Street NE</t>
  </si>
  <si>
    <t>4915 QUARLES STREET NE</t>
  </si>
  <si>
    <t>3411 Georgia Avenue Northwest, Washington, District of Columbia 20010</t>
  </si>
  <si>
    <t>3411 Georgia Avenue NW</t>
  </si>
  <si>
    <t>3411 GEORGIA AVENUE NW</t>
  </si>
  <si>
    <t>2121 Ward Place Northwest, Washington, District of Columbia 20037</t>
  </si>
  <si>
    <t>2121 Ward Place NW</t>
  </si>
  <si>
    <t>2121 WARD PLACE NW</t>
  </si>
  <si>
    <t>2025/10/08 00:00:00+00</t>
  </si>
  <si>
    <t>2601 Calvert Street Northwest, Washington, District of Columbia 20008</t>
  </si>
  <si>
    <t>Wardman Park Building B</t>
  </si>
  <si>
    <t>2601 CALVERT STREET NW</t>
  </si>
  <si>
    <t>2025/10/02 00:00:00+00</t>
  </si>
  <si>
    <t>2650 Woodley Road Northwest, Washington, District of Columbia 20008</t>
  </si>
  <si>
    <t>Wardman Park Building A</t>
  </si>
  <si>
    <t>2650 WOODLEY ROAD NW</t>
  </si>
  <si>
    <t>2025/08/26 00:00:00+00</t>
  </si>
  <si>
    <t>1821 Gainesville Street Southeast, Washington, District of Columbia 20020</t>
  </si>
  <si>
    <t>1821 Gainesville Residences</t>
  </si>
  <si>
    <t>1821 GAINESVILLE STREET SE</t>
  </si>
  <si>
    <t>701 Monroe Street Northeast, Washington, District of Columbia 20017</t>
  </si>
  <si>
    <t>Monroe Street Market - Everton (Block E)</t>
  </si>
  <si>
    <t>701 MONROE STREET NE</t>
  </si>
  <si>
    <t>2020/12/24 00:00:00+00</t>
  </si>
  <si>
    <t>1124 Florida Avenue Northeast, Washington, District of Columbia 20002</t>
  </si>
  <si>
    <t>1124-1126 Florida Avenue NE</t>
  </si>
  <si>
    <t>1124 FLORIDA AVENUE NE</t>
  </si>
  <si>
    <t>2025/09/05 00:00:00+00</t>
  </si>
  <si>
    <t>801 17th Street Northeast, Washington, District of Columbia 20002</t>
  </si>
  <si>
    <t>801 17th Street NE - Modera H Street</t>
  </si>
  <si>
    <t>801 17TH STREET NE</t>
  </si>
  <si>
    <t>2026 Jackson Street Northeast, Washington, District of Columbia 20018</t>
  </si>
  <si>
    <t>2026 Jackson Street NE - New Macedonia Baptist Church</t>
  </si>
  <si>
    <t>21-14</t>
  </si>
  <si>
    <t>2026 JACKSON STREET NE</t>
  </si>
  <si>
    <t>2626 Tunlaw Road Northwest, Washington, District of Columbia 20007</t>
  </si>
  <si>
    <t>Tunlaw Apartments</t>
  </si>
  <si>
    <t>2626 TUNLAW ROAD NW</t>
  </si>
  <si>
    <t>1732 15th Street Northwest, Washington, District of Columbia 20009</t>
  </si>
  <si>
    <t>Capitol Rose</t>
  </si>
  <si>
    <t>1732 15TH STREET NW</t>
  </si>
  <si>
    <t>2023/08/24 00:00:00+00</t>
  </si>
  <si>
    <t>2215 Minnesota Avenue Southeast, Washington, District of Columbia 20020</t>
  </si>
  <si>
    <t>2215 Minnesota Ave SE</t>
  </si>
  <si>
    <t>2215 MINNESOTA AVENUE SE</t>
  </si>
  <si>
    <t>2023/03/01 00:00:00+00</t>
  </si>
  <si>
    <t>654 Girard Street Northwest, Washington, District of Columbia 20001</t>
  </si>
  <si>
    <t>Howard Manor Renovation</t>
  </si>
  <si>
    <t>654 GIRARD STREET NW</t>
  </si>
  <si>
    <t>2024/03/20 00:00:00+00</t>
  </si>
  <si>
    <t>1550 Branch Avenue Southeast, Washington, District of Columbia 20020</t>
  </si>
  <si>
    <t>Residences at Penn Branch (Shops at Penn Branch Multifamily)</t>
  </si>
  <si>
    <t>DCHFA Amazon Housing Equity Fund</t>
  </si>
  <si>
    <t>1550 BRANCH AVENUE SE</t>
  </si>
  <si>
    <t>1661 Gales Street Northeast, Washington, District of Columbia 20002</t>
  </si>
  <si>
    <t>Gales Street HIP</t>
  </si>
  <si>
    <t>DCHFA</t>
  </si>
  <si>
    <t>1661 GALES STREET NE</t>
  </si>
  <si>
    <t>2021/04/12 00:00:00+00</t>
  </si>
  <si>
    <t>2629 Stanton Road Southeast, Washington, District of Columbia 20020</t>
  </si>
  <si>
    <t>Washington View Apartments</t>
  </si>
  <si>
    <t>2629 STANTON ROAD SE</t>
  </si>
  <si>
    <t>2023/12/27 00:00:00+00</t>
  </si>
  <si>
    <t>3726 10th Street Northeast, Washington, District of Columbia 20017</t>
  </si>
  <si>
    <t>Brookland Lanes</t>
  </si>
  <si>
    <t>23-15</t>
  </si>
  <si>
    <t>3726 10TH STREET NE</t>
  </si>
  <si>
    <t>SUM of UNITS_NET_NEW</t>
  </si>
  <si>
    <t>Units built in 2020</t>
  </si>
  <si>
    <t xml:space="preserve">From the rows that had no construction end dates, 1114 units were built. </t>
  </si>
  <si>
    <t>Units built in 2021</t>
  </si>
  <si>
    <t>Units built in 2022</t>
  </si>
  <si>
    <t>Units built in 2023</t>
  </si>
  <si>
    <t>Units built in 2024</t>
  </si>
  <si>
    <t>Units built in 2025</t>
  </si>
  <si>
    <t>Units built total 2020-2025</t>
  </si>
  <si>
    <t>Grand Total</t>
  </si>
  <si>
    <t>SUM of UNITS_TOTAL</t>
  </si>
  <si>
    <t>Units available in 2020</t>
  </si>
  <si>
    <t xml:space="preserve">From the rows that had no construction end date, there were 3597 existing units. </t>
  </si>
  <si>
    <t>Units available in 2021</t>
  </si>
  <si>
    <t>Units available in 2022</t>
  </si>
  <si>
    <t>Units available in 2023</t>
  </si>
  <si>
    <t>Units available in 2024</t>
  </si>
  <si>
    <t xml:space="preserve">Units available in 2025 </t>
  </si>
  <si>
    <t>Total units availab from 2020-2025</t>
  </si>
  <si>
    <t>Year</t>
  </si>
  <si>
    <t>Number of homeless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</si>
</sst>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0" fillId="0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0" xfId="0" applyFont="1"/>
    <xf borderId="0" fillId="9" fontId="1" numFmtId="0" xfId="0" applyAlignment="1" applyFill="1" applyFon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  <xf borderId="0" fillId="15" fontId="1" numFmtId="0" xfId="0" applyFont="1"/>
    <xf borderId="0" fillId="16" fontId="1" numFmtId="0" xfId="0" applyAlignment="1" applyFill="1" applyFont="1">
      <alignment readingOrder="0"/>
    </xf>
    <xf borderId="0" fillId="16" fontId="1" numFmtId="0" xfId="0" applyFont="1"/>
    <xf borderId="0" fillId="17" fontId="1" numFmtId="0" xfId="0" applyAlignment="1" applyFill="1" applyFont="1">
      <alignment readingOrder="0"/>
    </xf>
    <xf borderId="0" fillId="1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441" sheet="Affordable_Housing"/>
  </cacheSource>
  <cacheFields>
    <cacheField name="X" numFmtId="0">
      <sharedItems containsSemiMixedTypes="0" containsString="0" containsNumber="1">
        <n v="-8567920.2117"/>
        <n v="-8570902.7687"/>
        <n v="-8569805.3543"/>
        <n v="-8572867.588"/>
        <n v="-8571323.6547"/>
        <n v="-8573242.8205"/>
        <n v="-8573834.2867"/>
        <n v="-8573095.6561"/>
        <n v="-8569325.6033"/>
        <n v="-8574348.1412"/>
        <n v="-8574580.5457"/>
        <n v="-8564118.3081"/>
        <n v="-8574770.6136"/>
        <n v="-8573528.4594"/>
        <n v="-8571874.7394"/>
        <n v="-8574863.3168"/>
        <n v="-8568698.9191"/>
        <n v="-8574173.4985"/>
        <n v="-8571295.713"/>
        <n v="-8563387.5498"/>
        <n v="-8571799.2993"/>
        <n v="-8563762.4531"/>
        <n v="-8566678.4973"/>
        <n v="-8570407.7464"/>
        <n v="-8571887.6456"/>
        <n v="-8572415.9997"/>
        <n v="-8571865.2374"/>
        <n v="-8571408.5927"/>
        <n v="-8569250.4327"/>
        <n v="-8571793.4329"/>
        <n v="-8571699.8729"/>
        <n v="-8571897.0903"/>
        <n v="-8569929.3624"/>
        <n v="-8571780.1077"/>
        <n v="-8572315.2157"/>
        <n v="-8574183.191"/>
        <n v="-8571289.3833"/>
        <n v="-8572524.0455"/>
        <n v="-8569757.6254"/>
        <n v="-8568984.2643"/>
        <n v="-8572703.145"/>
        <n v="-8574000.8878"/>
        <n v="-8574114.3325"/>
        <n v="-8572874.326"/>
        <n v="-8570674.5103"/>
        <n v="-8574364.7112"/>
        <n v="-8572494.264"/>
        <n v="-8572640.3913"/>
        <n v="-8569718.4005"/>
        <n v="-8574252.0699"/>
        <n v="-8573762.373"/>
        <n v="-8574433.9232"/>
        <n v="-8568379.2169"/>
        <n v="-8572989.7641"/>
        <n v="-8570231.518"/>
        <n v="-8574587.4996"/>
        <n v="-8570409.1063"/>
        <n v="-8574125.7898"/>
        <n v="-8569498.8844"/>
        <n v="-8572552.6468"/>
        <n v="-8574345.3344"/>
        <n v="-8574354.5668"/>
        <n v="-8563686.2617"/>
        <n v="-8575119.0278"/>
        <n v="-8574639.8361"/>
        <n v="-8574587.7173"/>
        <n v="-8579608.5487"/>
        <n v="-8569539.1315"/>
        <n v="-8566545.053"/>
        <n v="-8571396.5033"/>
        <n v="-8570107.3994"/>
        <n v="-8571505.2846"/>
        <n v="-8572908.4444"/>
        <n v="-8572706.3842"/>
        <n v="-8571676.2062"/>
        <n v="-8572078.3933"/>
        <n v="-8572643.7003"/>
        <n v="-8570062.4486"/>
        <n v="-8574644.1999"/>
        <n v="-8574008.9918"/>
        <n v="-8569554.0277"/>
        <n v="-8573297.1099"/>
        <n v="-8569360.0238"/>
        <n v="-8571000.1785"/>
        <n v="-8571919.6918"/>
        <n v="-8563160.6675"/>
        <n v="-8566390.1567"/>
        <n v="-8566693.3561"/>
        <n v="-8574488.117"/>
        <n v="-8575068.7091"/>
        <n v="-8572650.09"/>
        <n v="-8574756.7541"/>
        <n v="-8575384.1882"/>
        <n v="-8575342.021"/>
        <n v="-8576026.2849"/>
        <n v="-8570674.3766"/>
        <n v="-8575468.8771"/>
        <n v="-8568824.1625"/>
        <n v="-8573900.7983"/>
        <n v="-8574182.1659"/>
        <n v="-8570218.0278"/>
        <n v="-8575216.7797"/>
        <n v="-8571779.654"/>
        <n v="-8574500.5314"/>
        <n v="-8571749.6586"/>
        <n v="-8571700.3301"/>
        <n v="-8574588.0623"/>
        <n v="-8574137.5953"/>
        <n v="-8564473.6084"/>
        <n v="-8574187.2809"/>
        <n v="-8572916.9537"/>
        <n v="-8568241.6835"/>
        <n v="-8570575.2433"/>
        <n v="-8576107.2498"/>
        <n v="-8575129.8513"/>
        <n v="-8570812.3294"/>
        <n v="-8575382.963"/>
        <n v="-8573388.4053"/>
        <n v="-8569729.4773"/>
        <n v="-8572365.9003"/>
        <n v="-8570849.6312"/>
        <n v="-8570282.4145"/>
        <n v="-8575773.955"/>
        <n v="-8572572.2041"/>
        <n v="-8574764.1842"/>
        <n v="-8575567.3195"/>
        <n v="-8575031.7306"/>
        <n v="-8574661.658"/>
        <n v="-8575208.6693"/>
        <n v="-8570575.7643"/>
        <n v="-8574579.427"/>
        <n v="-8564449.2713"/>
        <n v="-8573436.9015"/>
        <n v="-8570887.4147"/>
        <n v="-8574167.0304"/>
        <n v="-8575237.6674"/>
        <n v="-8574427.6521"/>
        <n v="-8570448.7532"/>
        <n v="-8574361.5796"/>
        <n v="-8569081.6817"/>
        <n v="-8569992.9873"/>
        <n v="-8574746.4219"/>
        <n v="-8574534.3454"/>
        <n v="-8569701.6556"/>
        <n v="-8569282.8782"/>
        <n v="-8570773.7124"/>
        <n v="-8574433.7367"/>
        <n v="-8568045.4349"/>
        <n v="-8569079.8383"/>
        <n v="-8569898.1412"/>
        <n v="-8571595.256"/>
        <n v="-8574235.6819"/>
        <n v="-8568309.7253"/>
        <n v="-8572751.529"/>
        <n v="-8574732.7392"/>
        <n v="-8571076.4713"/>
        <n v="-8570168.9972"/>
        <n v="-8569449.0428"/>
        <n v="-8568990.5647"/>
        <n v="-8571004.1294"/>
        <n v="-8569015.2869"/>
        <n v="-8570595.0626"/>
        <n v="-8574574.8367"/>
        <n v="-8574114.0288"/>
        <n v="-8573885.6386"/>
        <n v="-8570223.6897"/>
        <n v="-8570308.8591"/>
        <n v="-8569943.718"/>
        <n v="-8568651.9444"/>
        <n v="-8570630.498"/>
        <n v="-8570728.8418"/>
        <n v="-8574990.1996"/>
        <n v="-8569293.8993"/>
        <n v="-8572645.2294"/>
        <n v="-8570092.6825"/>
        <n v="-8571627.1184"/>
        <n v="-8569712.7125"/>
        <n v="-8575149.7632"/>
        <n v="-8572563.0237"/>
        <n v="-8570705.998"/>
        <n v="-8573857.226"/>
        <n v="-8571251.4819"/>
        <n v="-8569011.3242"/>
        <n v="-8573986.9234"/>
        <n v="-8563877.0458"/>
        <n v="-8564288.2928"/>
        <n v="-8574699.4812"/>
        <n v="-8562279.6255"/>
        <n v="-8567704.1979"/>
        <n v="-8575421.7843"/>
        <n v="-8575273.9074"/>
        <n v="-8572902.6123"/>
        <n v="-8574940.2976"/>
        <n v="-8570214.1439"/>
        <n v="-8573849.825"/>
        <n v="-8580515.4728"/>
        <n v="-8569373.3137"/>
        <n v="-8568923.1849"/>
        <n v="-8570561.1163"/>
        <n v="-8573634.4332"/>
        <n v="-8573003.9909"/>
        <n v="-8567659.2252"/>
        <n v="-8573380.7241"/>
        <n v="-8569646.1412"/>
        <n v="-8568706.5394"/>
        <n v="-8569489.3892"/>
        <n v="-8568957.6726"/>
        <n v="-8569801.4296"/>
        <n v="-8573475.6345"/>
        <n v="-8574644.8224"/>
        <n v="-8569590.6573"/>
        <n v="-8571770.4746"/>
        <n v="-8568703.3244"/>
        <n v="-8571301.9054"/>
        <n v="-8569747.1597"/>
        <n v="-8574749.2571"/>
        <n v="-8572896.9266"/>
        <n v="-8570574.5851"/>
        <n v="-8572863.0654"/>
        <n v="-8574206.2849"/>
        <n v="-8573325.3059"/>
        <n v="-8575366.7289"/>
        <n v="-8574602.9122"/>
        <n v="-8572238.8944"/>
        <n v="-8569475.168"/>
        <n v="-8570606.0967"/>
        <n v="-8572880.7995"/>
        <n v="-8570664.8822"/>
        <n v="-8571583.7012"/>
        <n v="-8574481.629"/>
        <n v="-8571172.5009"/>
        <n v="-8569471.2286"/>
        <n v="-8572653.0014"/>
        <n v="-8574026.2132"/>
        <n v="-8568026.1504"/>
        <n v="-8574543.8749"/>
        <n v="-8574148.225"/>
        <n v="-8563899.6216"/>
        <n v="-8563922.4669"/>
        <n v="-8573607.9714"/>
        <n v="-8574432.3353"/>
        <n v="-8570260.5915"/>
        <n v="-8574590.7082"/>
        <n v="-8570708.5692"/>
        <n v="-8572469.5399"/>
        <n v="-8570620.4476"/>
        <n v="-8570048.3887"/>
        <n v="-8574392.748"/>
        <n v="-8571558.4351"/>
        <n v="-8575159.517"/>
        <n v="-8568398.6993"/>
        <n v="-8571724.5229"/>
        <n v="-8574675.1486"/>
        <n v="-8574669.1235"/>
        <n v="-8568620.9037"/>
        <n v="-8573881.9491"/>
        <n v="-8582288.2406"/>
        <n v="-8575277.9288"/>
        <n v="-8571275.4277"/>
        <n v="-8574699.591"/>
        <n v="-8574701.5068"/>
        <n v="-8570650.8039"/>
        <n v="-8570714.6343"/>
        <n v="-8573387.4903"/>
        <n v="-8574332.3482"/>
        <n v="-8575754.8395"/>
        <n v="-8564640.9114"/>
        <n v="-8574574.8216"/>
        <n v="-8567845.9697"/>
        <n v="-8575234.6703"/>
        <n v="-8562238.7579"/>
        <n v="-8568188.3752"/>
        <n v="-8564325.2056"/>
        <n v="-8563738.4159"/>
        <n v="-8573718.1421"/>
        <n v="-8568811.8935"/>
        <n v="-8572809.9317"/>
        <n v="-8563562.55"/>
        <n v="-8580327.6501"/>
        <n v="-8580200.6005"/>
        <n v="-8578074.3548"/>
        <n v="-8578524.1987"/>
        <n v="-8569539.1845"/>
        <n v="-8572876.3963"/>
        <n v="-8570765.228"/>
        <n v="-8568574.7973"/>
        <n v="-8569355.6711"/>
        <n v="-8570601.0925"/>
        <n v="-8574682.909"/>
        <n v="-8580800.1125"/>
        <n v="-8581126.3074"/>
        <n v="-8581013.2764"/>
        <n v="-8574242.4385"/>
        <n v="-8571714.7982"/>
        <n v="-8571587.4147"/>
        <n v="-8568167.3503"/>
        <n v="-8572760.0655"/>
        <n v="-8580254.8167"/>
        <n v="-8575214.9988"/>
        <n v="-8562480.8282"/>
        <n v="-8575363.1194"/>
        <n v="-8578711.9063"/>
        <n v="-8568527.5787"/>
        <n v="-8574568.2361"/>
        <n v="-8574084.5559"/>
        <n v="-8572660.3406"/>
        <n v="-8568504.9062"/>
        <n v="-8569993.5275"/>
        <n v="-8570881.9262"/>
        <n v="-8570899.903"/>
        <n v="-8570584.9684"/>
        <n v="-8576037.0063"/>
        <n v="-8574869.2868"/>
        <n v="-8568364.4584"/>
        <n v="-8569124.5294"/>
        <n v="-8571630.1967"/>
        <n v="-8571097.7636"/>
        <n v="-8572560.4994"/>
        <n v="-8569258.1667"/>
        <n v="-8573587.0309"/>
        <n v="-8572355.2072"/>
        <n v="-8575714.2123"/>
        <n v="-8575579.8007"/>
        <n v="-8575953.608"/>
        <n v="-8569957.7348"/>
        <n v="-8570634.7646"/>
        <n v="-8577028.6835"/>
        <n v="-8579720.4245"/>
        <n v="-8566661.4021"/>
        <n v="-8568334.4997"/>
        <n v="-8574794.4526"/>
        <n v="-8570764.9747"/>
        <n v="-8574662.625"/>
        <n v="-8570797.2573"/>
        <n v="-8576385.7487"/>
        <n v="-8571779.5284"/>
        <n v="-8568786.8603"/>
        <n v="-8568221.4552"/>
        <n v="-8580863.9357"/>
        <n v="-8565879.5591"/>
        <n v="-8570035.0862"/>
        <n v="-8567991.5869"/>
        <n v="-8574686.5279"/>
        <n v="-8573221.9498"/>
        <n v="-8568730.1385"/>
        <n v="-8575212.2375"/>
        <n v="-8580911.0739"/>
        <n v="-8562831.0654"/>
        <n v="-8574182.7577"/>
        <n v="-8568853.1895"/>
        <n v="-8570010.703"/>
        <n v="-8569380.7637"/>
        <n v="-8574328.2907"/>
        <n v="-8571198.858"/>
        <n v="-8569109.7988"/>
        <n v="-8571221.6574"/>
        <n v="-8577759.6475"/>
        <n v="-8574258.5527"/>
        <n v="-8572405.5942"/>
        <n v="-8567803.2913"/>
        <n v="-8574235.6843"/>
        <n v="-8572921.2036"/>
        <n v="-8573117.2261"/>
        <n v="-8568995.0258"/>
        <n v="-8572154.6464"/>
        <n v="-8573020.0503"/>
        <n v="-8573098.7036"/>
        <n v="-8572986.1144"/>
        <n v="-8569486.6711"/>
        <n v="-8574633.0416"/>
        <n v="-8564952.7639"/>
        <n v="-8576024.4641"/>
        <n v="-8570232.3318"/>
        <n v="-8564904.354"/>
        <n v="-8575850.5634"/>
        <n v="-8568549.9288"/>
        <n v="-8574696.1214"/>
        <n v="-8574565.3644"/>
        <n v="-8570251.0143"/>
        <n v="-8569435.8472"/>
        <n v="-8569814.1961"/>
        <n v="-8568561.1588"/>
        <n v="-8575149.135"/>
        <n v="-8571070.9409"/>
        <n v="-8571595.6706"/>
        <n v="-8574591.3752"/>
        <n v="-8568297.0272"/>
        <n v="-8572694.4304"/>
        <n v="-8575006.7662"/>
        <n v="-8574061.2328"/>
        <n v="-8573839.2914"/>
        <n v="-8574574.8527"/>
        <n v="-8571141.0016"/>
        <n v="-8574311.6729"/>
        <n v="-8572069.2438"/>
        <n v="-8574064.0111"/>
        <n v="-8572854.107"/>
        <n v="-8573718.551"/>
        <n v="-8571088.0972"/>
        <n v="-8570259.4906"/>
        <n v="-8575423.8802"/>
        <n v="-8568842.1635"/>
        <n v="-8568926.489"/>
        <n v="-8570246.28"/>
        <n v="-8569025.7185"/>
        <n v="-8575707.5593"/>
        <n v="-8566030.0333"/>
        <n v="-8574461.2453"/>
        <n v="-8575109.0694"/>
        <n v="-8571872.4638"/>
        <n v="-8569490.1544"/>
        <n v="-8568872.2656"/>
        <n v="-8575213.702"/>
        <n v="-8571890.7354"/>
        <n v="-8574766.1403"/>
        <n v="-8571364.6981"/>
        <n v="-8563795.436"/>
        <n v="-8574210.2445"/>
        <n v="-8576896.2646"/>
        <n v="-8577800.3716"/>
        <n v="-8577688.6557"/>
        <n v="-8569155.5574"/>
        <n v="-8571141.1813"/>
        <n v="-8570565.9941"/>
        <n v="-8569225.8465"/>
        <n v="-8568760.4425"/>
        <n v="-8580057.4452"/>
        <n v="-8575491.2742"/>
        <n v="-8568713.011"/>
        <n v="-8574088.6"/>
        <n v="-8567135.0672"/>
        <n v="-8569390.3163"/>
        <n v="-8570449.7391"/>
        <n v="-8570902.5052"/>
      </sharedItems>
    </cacheField>
    <cacheField name="Y" numFmtId="0">
      <sharedItems containsSemiMixedTypes="0" containsString="0" containsNumber="1">
        <n v="4702903.1207"/>
        <n v="4707363.6883"/>
        <n v="4701611.8158"/>
        <n v="4715340.9543"/>
        <n v="4711235.0664"/>
        <n v="4707563.2551"/>
        <n v="4715309.0513"/>
        <n v="4707448.8271"/>
        <n v="4711330.165"/>
        <n v="4715455.1606"/>
        <n v="4715602.9575"/>
        <n v="4705672.3735"/>
        <n v="4712534.3659"/>
        <n v="4704268.4289"/>
        <n v="4703612.6191"/>
        <n v="4715669.8387"/>
        <n v="4707101.0279"/>
        <n v="4711129.6614"/>
        <n v="4708862.8152"/>
        <n v="4707083.3322"/>
        <n v="4709076.9313"/>
        <n v="4706908.0705"/>
        <n v="4706726.609"/>
        <n v="4713596.374"/>
        <n v="4708657.7277"/>
        <n v="4703176.6221"/>
        <n v="4708211.6368"/>
        <n v="4708413.3798"/>
        <n v="4707332.1406"/>
        <n v="4708363.044"/>
        <n v="4708645.4756"/>
        <n v="4709039.7609"/>
        <n v="4704465.6944"/>
        <n v="4708187.9274"/>
        <n v="4697564.7561"/>
        <n v="4708542.9265"/>
        <n v="4701779.4541"/>
        <n v="4708101.0834"/>
        <n v="4707457.1712"/>
        <n v="4705319.3284"/>
        <n v="4707864.7179"/>
        <n v="4709196.1179"/>
        <n v="4712030.7175"/>
        <n v="4704506.8197"/>
        <n v="4699679.6969"/>
        <n v="4710154.485"/>
        <n v="4697482.9713"/>
        <n v="4708820.0858"/>
        <n v="4706031.3512"/>
        <n v="4712279.6563"/>
        <n v="4704985.7595"/>
        <n v="4709680.4703"/>
        <n v="4701203.8588"/>
        <n v="4702229.6324"/>
        <n v="4704882.4773"/>
        <n v="4716850.7169"/>
        <n v="4704813.0123"/>
        <n v="4709820.1345"/>
        <n v="4707816.0951"/>
        <n v="4703912.8988"/>
        <n v="4713471.8843"/>
        <n v="4713471.2242"/>
        <n v="4704779.8048"/>
        <n v="4710182.2072"/>
        <n v="4714325.5827"/>
        <n v="4719217.844"/>
        <n v="4715834.7933"/>
        <n v="4702478.6797"/>
        <n v="4705070.951"/>
        <n v="4698756.7827"/>
        <n v="4701031.9577"/>
        <n v="4708715.3113"/>
        <n v="4703241.7191"/>
        <n v="4702584.6985"/>
        <n v="4708719.6544"/>
        <n v="4703669.8155"/>
        <n v="4709133.1601"/>
        <n v="4704937.5512"/>
        <n v="4717762.097"/>
        <n v="4704106.5724"/>
        <n v="4707831.8274"/>
        <n v="4710058.5686"/>
        <n v="4707640.7001"/>
        <n v="4711620.1207"/>
        <n v="4708587.6725"/>
        <n v="4707950.483"/>
        <n v="4705943.7862"/>
        <n v="4705127.9912"/>
        <n v="4712856.1624"/>
        <n v="4709127.9542"/>
        <n v="4708861.6313"/>
        <n v="4715297.8961"/>
        <n v="4712759.9997"/>
        <n v="4712757.6045"/>
        <n v="4709617.236"/>
        <n v="4702001.4833"/>
        <n v="4712311.2874"/>
        <n v="4711552.7513"/>
        <n v="4709543.4479"/>
        <n v="4715450.7424"/>
        <n v="4710892.8453"/>
        <n v="4710075.0008"/>
        <n v="4696241.4431"/>
        <n v="4713255.9987"/>
        <n v="4715657.5578"/>
        <n v="4710769.6219"/>
        <n v="4715438.238"/>
        <n v="4711301.6792"/>
        <n v="4708910.6745"/>
        <n v="4708424.4044"/>
        <n v="4702281.1844"/>
        <n v="4703094.7203"/>
        <n v="4711177.1407"/>
        <n v="4710304.7261"/>
        <n v="4709186.4307"/>
        <n v="4707417.9685"/>
        <n v="4710251.958"/>
        <n v="4717912.2274"/>
        <n v="4702445.5137"/>
        <n v="4697617.0308"/>
        <n v="4701897.4891"/>
        <n v="4699223.7795"/>
        <n v="4711028.7393"/>
        <n v="4709233.6276"/>
        <n v="4715527.0487"/>
        <n v="4712748.4296"/>
        <n v="4717949.4036"/>
        <n v="4712539.5821"/>
        <n v="4712550.3729"/>
        <n v="4712508.0726"/>
        <n v="4708474.1172"/>
        <n v="4709206.1582"/>
        <n v="4704792.1882"/>
        <n v="4710748.5869"/>
        <n v="4711597.7569"/>
        <n v="4710334.4376"/>
        <n v="4709979.3589"/>
        <n v="4707633.3701"/>
        <n v="4715375.965"/>
        <n v="4707262.9439"/>
        <n v="4708760.676"/>
        <n v="4711778.711"/>
        <n v="4713630.0317"/>
        <n v="4707547.3736"/>
        <n v="4712063.7921"/>
        <n v="4712352.0991"/>
        <n v="4713123.7244"/>
        <n v="4702827.1613"/>
        <n v="4707608.3551"/>
        <n v="4710815.006"/>
        <n v="4710271.4185"/>
        <n v="4710023.4389"/>
        <n v="4703720.7381"/>
        <n v="4702752.9531"/>
        <n v="4718316.5162"/>
        <n v="4706495.7669"/>
        <n v="4704242.8124"/>
        <n v="4708038.3205"/>
        <n v="4703461.0537"/>
        <n v="4696972.0835"/>
        <n v="4707149.0982"/>
        <n v="4712244.0633"/>
        <n v="4708489.5442"/>
        <n v="4715489.1758"/>
        <n v="4712292.689"/>
        <n v="4700809.3231"/>
        <n v="4701625.3247"/>
        <n v="4708736.8911"/>
        <n v="4700109.863"/>
        <n v="4700916.5229"/>
        <n v="4710511.9728"/>
        <n v="4715595.6585"/>
        <n v="4707782.392"/>
        <n v="4708773.8432"/>
        <n v="4700988.7384"/>
        <n v="4710824.4943"/>
        <n v="4702514.8661"/>
        <n v="4710859.0356"/>
        <n v="4708793.788"/>
        <n v="4702098.0519"/>
        <n v="4715315.7132"/>
        <n v="4710412.5368"/>
        <n v="4703396.9652"/>
        <n v="4715457.2897"/>
        <n v="4708419.8291"/>
        <n v="4707804.0459"/>
        <n v="4711813.0802"/>
        <n v="4706976.9465"/>
        <n v="4701487.8643"/>
        <n v="4710842.2957"/>
        <n v="4709126.2838"/>
        <n v="4708003.8398"/>
        <n v="4712127.8218"/>
        <n v="4704615.9284"/>
        <n v="4715475.4654"/>
        <n v="4714597.4859"/>
        <n v="4708195.0679"/>
        <n v="4707150.9298"/>
        <n v="4701906.7878"/>
        <n v="4704353.9555"/>
        <n v="4707467.795"/>
        <n v="4700506.3588"/>
        <n v="4718138.2816"/>
        <n v="4702509.676"/>
        <n v="4703626.0817"/>
        <n v="4702598.7191"/>
        <n v="4703463.2349"/>
        <n v="4705613.4871"/>
        <n v="4715476.973"/>
        <n v="4710206.5021"/>
        <n v="4702544.9419"/>
        <n v="4715451.6634"/>
        <n v="4703292.2793"/>
        <n v="4699457.9885"/>
        <n v="4705373.9919"/>
        <n v="4716058.114"/>
        <n v="4708507.1023"/>
        <n v="4712487.8836"/>
        <n v="4715430.3341"/>
        <n v="4711073.2713"/>
        <n v="4709264.9092"/>
        <n v="4712733.2676"/>
        <n v="4718897.5798"/>
        <n v="4713785.326"/>
        <n v="4702209.761"/>
        <n v="4699421.1842"/>
        <n v="4704361.5889"/>
        <n v="4710568.0364"/>
        <n v="4711322.377"/>
        <n v="4711796.8116"/>
        <n v="4697145.4218"/>
        <n v="4707258.7168"/>
        <n v="4708715.6307"/>
        <n v="4715465.8818"/>
        <n v="4701815.8793"/>
        <n v="4713724.1252"/>
        <n v="4710838.0561"/>
        <n v="4708419.9237"/>
        <n v="4708419.9926"/>
        <n v="4712795.9359"/>
        <n v="4713117.2655"/>
        <n v="4706733.2705"/>
        <n v="4714518.7807"/>
        <n v="4707900.6395"/>
        <n v="4708862.8469"/>
        <n v="4711691.7644"/>
        <n v="4707539.6497"/>
        <n v="4715368.2191"/>
        <n v="4708369.4375"/>
        <n v="4711108.893"/>
        <n v="4699975.7819"/>
        <n v="4696574.5019"/>
        <n v="4718366.1058"/>
        <n v="4718238.3924"/>
        <n v="4703514.3033"/>
        <n v="4709630.8477"/>
        <n v="4709864.8787"/>
        <n v="4713019.9247"/>
        <n v="4708649.0922"/>
        <n v="4710230.3432"/>
        <n v="4710240.5895"/>
        <n v="4712180.1651"/>
        <n v="4710622.8473"/>
        <n v="4717969.0596"/>
        <n v="4709763.9898"/>
        <n v="4708569.2599"/>
        <n v="4706167.0945"/>
        <n v="4709846.8208"/>
        <n v="4710739.7822"/>
        <n v="4717780.9276"/>
        <n v="4706538.5304"/>
        <n v="4701050.0879"/>
        <n v="4707799.6783"/>
        <n v="4707276.8258"/>
        <n v="4715475.1585"/>
        <n v="4707685.0975"/>
        <n v="4715421.8037"/>
        <n v="4707214.2193"/>
        <n v="4713165.3927"/>
        <n v="4713325.4894"/>
        <n v="4712268.909"/>
        <n v="4713469.7722"/>
        <n v="4707233.424"/>
        <n v="4703108.1547"/>
        <n v="4707931.9708"/>
        <n v="4711698.9781"/>
        <n v="4707825.3294"/>
        <n v="4710586.5655"/>
        <n v="4712501.6603"/>
        <n v="4716325.8056"/>
        <n v="4715897.276"/>
        <n v="4715905.9578"/>
        <n v="4715396.9005"/>
        <n v="4708511.6049"/>
        <n v="4708729.1912"/>
        <n v="4703579.4135"/>
        <n v="4707776.1326"/>
        <n v="4713071.7251"/>
        <n v="4712984.0028"/>
        <n v="4706546.7527"/>
        <n v="4717674.8936"/>
        <n v="4708184.0131"/>
        <n v="4711735.8192"/>
        <n v="4708432.6634"/>
        <n v="4710963.9938"/>
        <n v="4703628.1274"/>
        <n v="4708137.8682"/>
        <n v="4708753.0855"/>
        <n v="4713217.0009"/>
        <n v="4713215.9578"/>
        <n v="4710593.1118"/>
        <n v="4710451.7982"/>
        <n v="4715943.5306"/>
        <n v="4702203.8129"/>
        <n v="4703304.6146"/>
        <n v="4709903.8003"/>
        <n v="4701207.7716"/>
        <n v="4704337.1362"/>
        <n v="4711432.7584"/>
        <n v="4718411.1643"/>
        <n v="4709231.5711"/>
        <n v="4709001.2975"/>
        <n v="4710840.8556"/>
        <n v="4712085.6813"/>
        <n v="4705780.4829"/>
        <n v="4712076.761"/>
        <n v="4709711.9417"/>
        <n v="4712018.2715"/>
        <n v="4711000.8484"/>
        <n v="4700907.9425"/>
        <n v="4716049.0853"/>
        <n v="4707419.7043"/>
        <n v="4715120.6656"/>
        <n v="4701951.6787"/>
        <n v="4710148.6014"/>
        <n v="4707358.4793"/>
        <n v="4708132.0485"/>
        <n v="4703323.8287"/>
        <n v="4716226.0431"/>
        <n v="4707384.9157"/>
        <n v="4700311.4064"/>
        <n v="4700973.1406"/>
        <n v="4715382.8735"/>
        <n v="4713518.9547"/>
        <n v="4703279.9604"/>
        <n v="4712220.2769"/>
        <n v="4708514.7202"/>
        <n v="4707415.6947"/>
        <n v="4709214.4254"/>
        <n v="4711650.6135"/>
        <n v="4707419.7041"/>
        <n v="4711293.9808"/>
        <n v="4708511.0318"/>
        <n v="4699788.2113"/>
        <n v="4703216.097"/>
        <n v="4707413.3018"/>
        <n v="4707394.2583"/>
        <n v="4712374.4218"/>
        <n v="4708842.3742"/>
        <n v="4710827.417"/>
        <n v="4711573.801"/>
        <n v="4703206.5799"/>
        <n v="4717882.8497"/>
        <n v="4705231.6243"/>
        <n v="4703679.8072"/>
        <n v="4702339.4359"/>
        <n v="4702421.6717"/>
        <n v="4702368.0583"/>
        <n v="4711140.6084"/>
        <n v="4718168.2579"/>
        <n v="4706257.4025"/>
        <n v="4710302.7003"/>
        <n v="4704171.5088"/>
        <n v="4707737.0138"/>
        <n v="4709192.9584"/>
        <n v="4708136.0391"/>
        <n v="4705310.8579"/>
        <n v="4715381.2332"/>
        <n v="4704243.7898"/>
        <n v="4707262.3687"/>
        <n v="4701218.7271"/>
        <n v="4701028.611"/>
        <n v="4710787.6261"/>
        <n v="4704514.4735"/>
        <n v="4702361.6491"/>
        <n v="4711799.8091"/>
        <n v="4700742.6369"/>
        <n v="4716004.367"/>
        <n v="4712090.5949"/>
        <n v="4715448.6577"/>
        <n v="4715465.8733"/>
        <n v="4708544.2752"/>
        <n v="4707679.7242"/>
        <n v="4712870.3413"/>
        <n v="4708918.1218"/>
        <n v="4710094.2551"/>
        <n v="4715480.4349"/>
        <n v="4711876.7187"/>
        <n v="4701386.0917"/>
        <n v="4706712.8481"/>
        <n v="4710782.8083"/>
        <n v="4703097.2975"/>
        <n v="4707764.7766"/>
        <n v="4704632.1771"/>
        <n v="4707511.1828"/>
        <n v="4711605.6667"/>
        <n v="4707234.0723"/>
        <n v="4710712.9028"/>
        <n v="4711646.5496"/>
        <n v="4707759.5079"/>
        <n v="4707955.1222"/>
        <n v="4707577.4269"/>
        <n v="4712839.2338"/>
        <n v="4707637.5034"/>
        <n v="4707925.0284"/>
        <n v="4710665.4578"/>
        <n v="4708548.1074"/>
        <n v="4711998.4778"/>
        <n v="4708274.1982"/>
        <n v="4710739.0695"/>
        <n v="4710902.8771"/>
        <n v="4700908.3287"/>
        <n v="4711955.4761"/>
        <n v="4707817.2527"/>
        <n v="4707433.9178"/>
        <n v="4711702.0226"/>
        <n v="4710853.0569"/>
        <n v="4709328.6965"/>
        <n v="4703287.3231"/>
        <n v="4711017.4995"/>
        <n v="4703101.9047"/>
        <n v="4707082.0938"/>
        <n v="4701397.6295"/>
        <n v="4712530.0941"/>
      </sharedItems>
    </cacheField>
    <cacheField name="OBJECTID" numFmtId="0">
      <sharedItems containsSemiMixedTypes="0" containsString="0" containsNumber="1" containsInteger="1">
        <n v="351963.0"/>
        <n v="361606.0"/>
        <n v="361610.0"/>
        <n v="361617.0"/>
        <n v="361623.0"/>
        <n v="361624.0"/>
        <n v="361630.0"/>
        <n v="361632.0"/>
        <n v="361633.0"/>
        <n v="361634.0"/>
        <n v="361635.0"/>
        <n v="361636.0"/>
        <n v="361637.0"/>
        <n v="361639.0"/>
        <n v="361640.0"/>
        <n v="361641.0"/>
        <n v="361642.0"/>
        <n v="361644.0"/>
        <n v="361648.0"/>
        <n v="361649.0"/>
        <n v="361650.0"/>
        <n v="361651.0"/>
        <n v="361655.0"/>
        <n v="361656.0"/>
        <n v="361657.0"/>
        <n v="361658.0"/>
        <n v="361660.0"/>
        <n v="361661.0"/>
        <n v="361662.0"/>
        <n v="361663.0"/>
        <n v="361664.0"/>
        <n v="361666.0"/>
        <n v="361667.0"/>
        <n v="361668.0"/>
        <n v="361682.0"/>
        <n v="361699.0"/>
        <n v="361704.0"/>
        <n v="361714.0"/>
        <n v="361716.0"/>
        <n v="361727.0"/>
        <n v="361742.0"/>
        <n v="361744.0"/>
        <n v="361745.0"/>
        <n v="361750.0"/>
        <n v="361754.0"/>
        <n v="361756.0"/>
        <n v="361759.0"/>
        <n v="361769.0"/>
        <n v="361796.0"/>
        <n v="361820.0"/>
        <n v="361822.0"/>
        <n v="361825.0"/>
        <n v="361846.0"/>
        <n v="361847.0"/>
        <n v="361855.0"/>
        <n v="361863.0"/>
        <n v="361866.0"/>
        <n v="361867.0"/>
        <n v="361869.0"/>
        <n v="361870.0"/>
        <n v="361871.0"/>
        <n v="361872.0"/>
        <n v="361873.0"/>
        <n v="361874.0"/>
        <n v="361875.0"/>
        <n v="361877.0"/>
        <n v="361878.0"/>
        <n v="361879.0"/>
        <n v="361881.0"/>
        <n v="361882.0"/>
        <n v="361883.0"/>
        <n v="361884.0"/>
        <n v="361885.0"/>
        <n v="361886.0"/>
        <n v="361887.0"/>
        <n v="361890.0"/>
        <n v="361892.0"/>
        <n v="361893.0"/>
        <n v="361894.0"/>
        <n v="361896.0"/>
        <n v="361898.0"/>
        <n v="361899.0"/>
        <n v="361900.0"/>
        <n v="361901.0"/>
        <n v="361902.0"/>
        <n v="361903.0"/>
        <n v="361904.0"/>
        <n v="361905.0"/>
        <n v="361906.0"/>
        <n v="361907.0"/>
        <n v="361909.0"/>
        <n v="361911.0"/>
        <n v="361912.0"/>
        <n v="361913.0"/>
        <n v="361914.0"/>
        <n v="361916.0"/>
        <n v="361917.0"/>
        <n v="361919.0"/>
        <n v="361920.0"/>
        <n v="361921.0"/>
        <n v="361923.0"/>
        <n v="361924.0"/>
        <n v="361925.0"/>
        <n v="361926.0"/>
        <n v="361927.0"/>
        <n v="361929.0"/>
        <n v="361930.0"/>
        <n v="361931.0"/>
        <n v="361932.0"/>
        <n v="361934.0"/>
        <n v="361935.0"/>
        <n v="361936.0"/>
        <n v="361938.0"/>
        <n v="361939.0"/>
        <n v="361940.0"/>
        <n v="361941.0"/>
        <n v="361943.0"/>
        <n v="361944.0"/>
        <n v="361946.0"/>
        <n v="361947.0"/>
        <n v="361948.0"/>
        <n v="361950.0"/>
        <n v="361951.0"/>
        <n v="361952.0"/>
        <n v="361953.0"/>
        <n v="361955.0"/>
        <n v="361956.0"/>
        <n v="361958.0"/>
        <n v="361959.0"/>
        <n v="361960.0"/>
        <n v="361961.0"/>
        <n v="361962.0"/>
        <n v="361963.0"/>
        <n v="361964.0"/>
        <n v="361966.0"/>
        <n v="361967.0"/>
        <n v="361968.0"/>
        <n v="361970.0"/>
        <n v="361971.0"/>
        <n v="361972.0"/>
        <n v="361974.0"/>
        <n v="361975.0"/>
        <n v="361976.0"/>
        <n v="361977.0"/>
        <n v="361979.0"/>
        <n v="361980.0"/>
        <n v="361981.0"/>
        <n v="361982.0"/>
        <n v="361983.0"/>
        <n v="361984.0"/>
        <n v="361985.0"/>
        <n v="361986.0"/>
        <n v="361987.0"/>
        <n v="361988.0"/>
        <n v="361990.0"/>
        <n v="361992.0"/>
        <n v="361994.0"/>
        <n v="361998.0"/>
        <n v="362000.0"/>
        <n v="362003.0"/>
        <n v="362004.0"/>
        <n v="362005.0"/>
        <n v="362006.0"/>
        <n v="362007.0"/>
        <n v="362008.0"/>
        <n v="362009.0"/>
        <n v="362010.0"/>
        <n v="362011.0"/>
        <n v="362012.0"/>
        <n v="362013.0"/>
        <n v="362014.0"/>
        <n v="362016.0"/>
        <n v="362018.0"/>
        <n v="362019.0"/>
        <n v="362020.0"/>
        <n v="362021.0"/>
        <n v="362022.0"/>
        <n v="362024.0"/>
        <n v="362026.0"/>
        <n v="362027.0"/>
        <n v="362028.0"/>
        <n v="362031.0"/>
        <n v="362033.0"/>
        <n v="362034.0"/>
        <n v="362035.0"/>
        <n v="362036.0"/>
        <n v="362037.0"/>
        <n v="362039.0"/>
        <n v="362040.0"/>
        <n v="362041.0"/>
        <n v="362042.0"/>
        <n v="362043.0"/>
        <n v="362044.0"/>
        <n v="362045.0"/>
        <n v="362046.0"/>
        <n v="362047.0"/>
        <n v="362048.0"/>
        <n v="362049.0"/>
        <n v="362051.0"/>
        <n v="362053.0"/>
        <n v="362055.0"/>
        <n v="362056.0"/>
        <n v="362058.0"/>
        <n v="362059.0"/>
        <n v="362061.0"/>
        <n v="362062.0"/>
        <n v="362064.0"/>
        <n v="362065.0"/>
        <n v="362066.0"/>
        <n v="362067.0"/>
        <n v="362068.0"/>
        <n v="362069.0"/>
        <n v="362070.0"/>
        <n v="362071.0"/>
        <n v="362072.0"/>
        <n v="362073.0"/>
        <n v="362074.0"/>
        <n v="362075.0"/>
        <n v="362076.0"/>
        <n v="362077.0"/>
        <n v="362078.0"/>
        <n v="362079.0"/>
        <n v="362080.0"/>
        <n v="362081.0"/>
        <n v="362082.0"/>
        <n v="362083.0"/>
        <n v="362084.0"/>
        <n v="362085.0"/>
        <n v="362087.0"/>
        <n v="362088.0"/>
        <n v="362089.0"/>
        <n v="362090.0"/>
        <n v="362091.0"/>
        <n v="362092.0"/>
        <n v="362093.0"/>
        <n v="362094.0"/>
        <n v="362095.0"/>
        <n v="362096.0"/>
        <n v="362099.0"/>
        <n v="362100.0"/>
        <n v="362101.0"/>
        <n v="362102.0"/>
        <n v="362104.0"/>
        <n v="362106.0"/>
        <n v="362107.0"/>
        <n v="362108.0"/>
        <n v="362111.0"/>
        <n v="362112.0"/>
        <n v="362113.0"/>
        <n v="362117.0"/>
        <n v="362118.0"/>
        <n v="362119.0"/>
        <n v="362121.0"/>
        <n v="362122.0"/>
        <n v="362123.0"/>
        <n v="362126.0"/>
        <n v="362127.0"/>
        <n v="362128.0"/>
        <n v="362129.0"/>
        <n v="362130.0"/>
        <n v="362131.0"/>
        <n v="362132.0"/>
        <n v="362133.0"/>
        <n v="362134.0"/>
        <n v="362135.0"/>
        <n v="362138.0"/>
        <n v="362140.0"/>
        <n v="362142.0"/>
        <n v="362143.0"/>
        <n v="362144.0"/>
        <n v="362146.0"/>
        <n v="362148.0"/>
        <n v="362149.0"/>
        <n v="362150.0"/>
        <n v="362151.0"/>
        <n v="362156.0"/>
        <n v="362157.0"/>
        <n v="362158.0"/>
        <n v="362165.0"/>
        <n v="362170.0"/>
        <n v="362172.0"/>
        <n v="362173.0"/>
        <n v="362174.0"/>
        <n v="362175.0"/>
        <n v="362176.0"/>
        <n v="362183.0"/>
        <n v="362184.0"/>
        <n v="362186.0"/>
        <n v="362187.0"/>
        <n v="362188.0"/>
        <n v="362190.0"/>
        <n v="362191.0"/>
        <n v="362192.0"/>
        <n v="362193.0"/>
        <n v="362197.0"/>
        <n v="362199.0"/>
        <n v="362200.0"/>
        <n v="362203.0"/>
        <n v="362204.0"/>
        <n v="362206.0"/>
        <n v="362208.0"/>
        <n v="362210.0"/>
        <n v="362212.0"/>
        <n v="362215.0"/>
        <n v="362217.0"/>
        <n v="362218.0"/>
        <n v="362221.0"/>
        <n v="362222.0"/>
        <n v="362223.0"/>
        <n v="362225.0"/>
        <n v="362226.0"/>
        <n v="362227.0"/>
        <n v="362228.0"/>
        <n v="362231.0"/>
        <n v="362232.0"/>
        <n v="362235.0"/>
        <n v="362237.0"/>
        <n v="362239.0"/>
        <n v="362243.0"/>
        <n v="362248.0"/>
        <n v="362249.0"/>
        <n v="362250.0"/>
        <n v="362251.0"/>
        <n v="362252.0"/>
        <n v="362253.0"/>
        <n v="362254.0"/>
        <n v="362257.0"/>
        <n v="362258.0"/>
        <n v="362259.0"/>
        <n v="362260.0"/>
        <n v="362261.0"/>
        <n v="362262.0"/>
        <n v="362263.0"/>
        <n v="362264.0"/>
        <n v="362266.0"/>
        <n v="362270.0"/>
        <n v="362271.0"/>
        <n v="362272.0"/>
        <n v="362276.0"/>
        <n v="362277.0"/>
        <n v="362289.0"/>
        <n v="362290.0"/>
        <n v="362291.0"/>
        <n v="362292.0"/>
        <n v="362293.0"/>
        <n v="362294.0"/>
        <n v="362295.0"/>
        <n v="362297.0"/>
        <n v="362298.0"/>
        <n v="362299.0"/>
        <n v="362302.0"/>
        <n v="362304.0"/>
        <n v="362305.0"/>
        <n v="362306.0"/>
        <n v="362307.0"/>
        <n v="362308.0"/>
        <n v="362309.0"/>
        <n v="362321.0"/>
        <n v="362329.0"/>
        <n v="362335.0"/>
        <n v="362336.0"/>
        <n v="362345.0"/>
        <n v="362350.0"/>
        <n v="362353.0"/>
        <n v="362362.0"/>
        <n v="362364.0"/>
        <n v="362365.0"/>
        <n v="362366.0"/>
        <n v="362367.0"/>
        <n v="362368.0"/>
        <n v="362369.0"/>
        <n v="362370.0"/>
        <n v="362377.0"/>
        <n v="362378.0"/>
        <n v="362379.0"/>
        <n v="362380.0"/>
        <n v="362382.0"/>
        <n v="362383.0"/>
        <n v="362385.0"/>
        <n v="362386.0"/>
        <n v="362387.0"/>
        <n v="362388.0"/>
        <n v="362389.0"/>
        <n v="362390.0"/>
        <n v="362391.0"/>
        <n v="362392.0"/>
        <n v="362393.0"/>
        <n v="362395.0"/>
        <n v="362401.0"/>
        <n v="362402.0"/>
        <n v="362403.0"/>
        <n v="362404.0"/>
        <n v="362405.0"/>
        <n v="362407.0"/>
        <n v="362412.0"/>
        <n v="362413.0"/>
        <n v="362414.0"/>
        <n v="362419.0"/>
        <n v="362421.0"/>
        <n v="362423.0"/>
        <n v="362424.0"/>
        <n v="362425.0"/>
        <n v="362427.0"/>
        <n v="362430.0"/>
        <n v="362431.0"/>
        <n v="362433.0"/>
        <n v="362436.0"/>
        <n v="362438.0"/>
        <n v="362445.0"/>
        <n v="362446.0"/>
        <n v="362448.0"/>
        <n v="362449.0"/>
        <n v="362450.0"/>
        <n v="362452.0"/>
        <n v="362455.0"/>
        <n v="362457.0"/>
        <n v="362459.0"/>
        <n v="362461.0"/>
        <n v="362463.0"/>
        <n v="362465.0"/>
        <n v="362466.0"/>
        <n v="362470.0"/>
        <n v="362471.0"/>
        <n v="362472.0"/>
        <n v="362473.0"/>
        <n v="362474.0"/>
        <n v="362476.0"/>
        <n v="362477.0"/>
        <n v="362479.0"/>
        <n v="362487.0"/>
        <n v="362490.0"/>
        <n v="362502.0"/>
        <n v="362504.0"/>
        <n v="362505.0"/>
        <n v="362506.0"/>
        <n v="362510.0"/>
        <n v="362511.0"/>
        <n v="362516.0"/>
      </sharedItems>
    </cacheField>
    <cacheField name="MAR_WARD" numFmtId="0">
      <sharedItems>
        <s v="Ward 7"/>
        <s v="Ward 6"/>
        <s v="Ward 8"/>
        <s v="Ward 4"/>
        <s v="Ward 5"/>
        <s v="Ward 1"/>
        <s v="Ward 3"/>
        <s v="Ward 2"/>
      </sharedItems>
    </cacheField>
    <cacheField name="ADDRESS" numFmtId="0">
      <sharedItems>
        <s v="1715 28th Place Southeast, Washington, District of Columbia 20020"/>
        <s v="901 H Street Northeast, Washington, District of Columbia 20002"/>
        <s v="2200 Hunter Place Southeast, Washington, District of Columbia 20020"/>
        <s v="53 Missouri Avenue NW, Washington, District of Columbia 20011"/>
        <s v="617 Hamlin Street Northeast, Washington, District of Columbia 20017"/>
        <s v="881 3rd St NW, Washington, District of Columbia 20001"/>
        <s v="5400 5th Street Northwest, Washington, District of Columbia 20011"/>
        <s v="810 New Jersey Avenue Northwest, Washington, District of Columbia 20001"/>
        <s v="1736 Rhode Island Avenue Northeast, Washington, District of Columbia 20018"/>
        <s v="809 Kennedy Street Northwest, Washington, District of Columbia 20011"/>
        <s v="931 Longfellow Street Northwest, Washington, District of Columbia 20011"/>
        <s v="101 49th Street Southeast, Washington, District of Columbia 20019"/>
        <s v="1125 Spring Road Northwest, Washington, District of Columbia 20010"/>
        <s v="1000 4th Street Southwest, Washington, District of Columbia 20024"/>
        <s v="220 Water Street Southeast, Washington, District of Columbia 20003"/>
        <s v="1214 Madison Street Northwest, Washington, District of Columbia 20011"/>
        <s v="633 21st Street Northeast, Washington, District of Columbia 20002"/>
        <s v="2812 Georgia Avenue Northwest, Washington, District of Columbia 20001"/>
        <s v="440 Penn Street Northeast, Washington, District of Columbia 20002"/>
        <s v="5129 Nannie Helen Burroughs Avenue Northeast, Washington, District of Columbia 20019"/>
        <s v="1501 Harry Thomas Way Northeast, Washington, District of Columbia 20002"/>
        <s v="599 50th St NE, Washington, District of Columbia 20019"/>
        <s v="3450 Eads Street Northeast, Washington, District of Columbia 20019"/>
        <s v="1200 Varnum Street Northeast, Washington, District of Columbia 20017"/>
        <s v="200 Florida Avenue Northeast, Washington, District of Columbia 20002"/>
        <s v="71 Potomac Avenue Southeast, Washington, District of Columbia 20003"/>
        <s v="1220 3rd Street NE, Washington, District of Columbia 20002"/>
        <s v="550 Morse Street Northeast, Washington, District of Columbia 20002"/>
        <s v="1701 H Street Northeast, Washington, District of Columbia 20002"/>
        <s v="301 N Street NE, Washington, District of Columbia 20002"/>
        <s v="300 Morse Street Northeast, Washington, District of Columbia 20002"/>
        <s v="1500 Harry Thomas Way Northeast, Washington, District of Columbia 20002"/>
        <s v="1401 Pennsylvania Avenue Southeast, Washington, District of Columbia 20003"/>
        <s v="300 M Street Northeast, Washington, District of Columbia 20002"/>
        <s v="22 Atlantic Street Southeast, Washington, District of Columbia 20032"/>
        <s v="1336 8th St NW, Washington, District of Columbia 20001"/>
        <s v="1200 Sumner Road Southeast, Washington, District of Columbia 20020"/>
        <s v="1133 North Capitol Street Northeast, Washington, District of Columbia 20002"/>
        <s v="808 Bladensburg Road Northeast, Washington, District of Columbia 20002"/>
        <s v="1900 C Street Southeast, Washington, District of Columbia 20003"/>
        <s v="2 L Street Northwest, Washington, District of Columbia 20001"/>
        <s v="1707 7th Street NW, Washington, District of Columbia 20001"/>
        <s v="610 Park Road Northwest, Washington, District of Columbia 20010"/>
        <s v="64 H Street Southwest, Washington, District of Columbia 20024"/>
        <s v="1201 Oak Drive Southeast, Washington, District of Columbia 20032"/>
        <s v="965 Florida Avenue Northwest, Washington, District of Columbia 20001"/>
        <s v="4001 South Capitol Street Southwest, Washington, District of Columbia 20032"/>
        <s v="1520 North Capitol Street Northwest, Washington, District of Columbia 20002"/>
        <s v="1511 A Street Northeast, Washington, District of Columbia 20002"/>
        <s v="3559 Georgia Ave NW, Washington, District of Columbia 20010"/>
        <s v="555 E Street Southwest, Washington, District of Columbia 20024"/>
        <s v="1923 Vermont Ave NW, Washington, District of Columbia"/>
        <s v="2412 Ainger Place Southeast, Washington, District of Columbia 20020"/>
        <s v="2121 1st Street Southwest, Washington, District of Columbia 20024"/>
        <s v="1309 E Street Southeast, Washington, District of Columbia 20003"/>
        <s v="917 Sheridan Street Northwest, Washington, District of Columbia 20011"/>
        <s v="1220 Pennsylvania Avenue Southeast, Washington, District of Columbia 20003"/>
        <s v="2009 8th Street Northwest, Washington, District of Columbia 20001"/>
        <s v="1021 Bladensburg Road Northeast, Washington, District of Columbia 20002"/>
        <s v="1211 Van Street Southeast, Washington, District of Columbia 20003"/>
        <s v="836 Varnum Street Northwest, Washington, District of Columbia 20011"/>
        <s v="838 Varnum Street Northwest, Washington, District of Columbia 20011"/>
        <s v="412 51st Street Southeast, Washington, District of Columbia 20019"/>
        <s v="2213 14th Street Northwest, Washington, District of Columbia 20009"/>
        <s v="4804 Georgia Avenue Northwest, Washington, District of Columbia 20012"/>
        <s v="7700 Georgia Avenue Northwest, Washington, District of Columbia 20012"/>
        <s v="5301 Connecticut Avenue Northwest, Washington, District of Columbia 20015"/>
        <s v="1605 Good Hope Road Southeast, Washington, District of Columbia 20020"/>
        <s v="3600 Ely Place Southeast, Washington, District of Columbia 20019"/>
        <s v="3300 6th Street Southeast, Washington, District of Columbia 20032"/>
        <s v="2910 Stanton Road Southeast, Washington, District of Columbia 20020"/>
        <s v="1320 4th Street NE, Washington, District of Columbia 20002"/>
        <s v="1530 1st Street Southwest, Washington, District of Columbia 20024"/>
        <s v="1900 Half Street Southwest, Washington, District of Columbia 20536"/>
        <s v="1280 Union St NE, Washington, District of Columbia 20002"/>
        <s v="1300 Yards Place Southeast, Washington, District of Columbia 20003"/>
        <s v="4 R Street Northwest, Washington, District of Columbia 20001"/>
        <s v="1350 E Street Southeast, Washington, District of Columbia 20003"/>
        <s v="6800 Georgia Avenue Northwest, Washington, District of Columbia 20307"/>
        <s v="35 Parker Row Southwest, Washington, District of Columbia 20024"/>
        <s v="1028 Bladensburg Road Northeast, Washington, District of Columbia 20002"/>
        <s v="205 v Street Northwest, Washington, District of Columbia 20001"/>
        <s v="1676 Maryland Avenue Northeast, Washington, District of Columbia 20002"/>
        <s v="3201 8th Street Northeast, Washington, District of Columbia 20017"/>
        <s v="202 Florida Avenue Northeast, Washington, District of Columbia 20002"/>
        <s v="1100 Eastern Avenue Northeast, Washington, District of Columbia 20019"/>
        <s v="3534 East Capitol Street Northeast, Washington, District of Columbia 20019"/>
        <s v="401 Anacostia Road Southeast, Washington, District of Columbia 20019"/>
        <s v="930 Randolph Street Northwest, Washington, District of Columbia 20011"/>
        <s v="1338 R Street Northwest, Washington, District of Columbia 20009"/>
        <s v="1532 North Capitol Street Northwest, Washington, District of Columbia 20001"/>
        <s v="1203 Jefferson Street Northwest, Washington, District of Columbia 20011"/>
        <s v="1416 Quincy Street Northwest, Washington, District of Columbia 20011"/>
        <s v="1410 Quincy Street Northwest, Washington, District of Columbia 20011"/>
        <s v="1729 T Street Northwest, Washington, District of Columbia 20009"/>
        <s v="1212 Talbert Street Southeast, Washington, District of Columbia 20020"/>
        <s v="1447 Oak Street Northwest, Washington, District of Columbia 20010"/>
        <s v="2027 Rhode Island Avenue Northeast, Washington, District of Columbia 20018"/>
        <s v="618 T Street Northwest, Washington, District of Columbia 20001"/>
        <s v="721 Kennedy Street Northwest, Washington, District of Columbia 20011"/>
        <s v="2711 13th Street Northeast, Washington, District of Columbia 20017"/>
        <s v="1400 W Street Northwest, Washington, District of Columbia 20009"/>
        <s v="4656 Livingston Road Southeast, Washington, District of Columbia 20032"/>
        <s v="4111 Kansas Avenue Northwest, Washington, District of Columbia 20011"/>
        <s v="325 Riggs Road Northeast, Washington, District of Columbia 20011"/>
        <s v="2612 4th Street Northeast, Washington, District of Columbia 20002"/>
        <s v="927 Kennedy St NW, Washington, District of Columbia 20011"/>
        <s v="2905 Georgia Avenue Northwest, Washington, District of Columbia 20001"/>
        <s v="1516 Kenilworth Avenue Northeast, Washington, District of Columbia 20019"/>
        <s v="801 N Street Northwest, Washington, District of Columbia 20007"/>
        <s v="88 v Street Southwest, Washington, District of Columbia 20024"/>
        <s v="1614 26th Pl SE, Washington, District of Columbia 20020"/>
        <s v="2900 12th Street Northeast, Washington, District of Columbia 20017"/>
        <s v="1731 Kalorama Road Northwest, Washington, District of Columbia 20009"/>
        <s v="1701 14th Street Northwest, Washington, District of Columbia 20009"/>
        <s v="920 H Street Northeast, Washington, District of Columbia 20002"/>
        <s v="1460 Belmont St NW, Washington, District of Columbia 20009"/>
        <s v="218 Vine Street Northwest, Washington, District of Columbia 20012"/>
        <s v="1928 15th Street Southeast, Washington, District of Columbia 20020"/>
        <s v="17 Mississippi Avenue Southeast, Washington, District of Columbia 20032"/>
        <s v="2442 Martin Luther King Jr Avenue Southeast, Washington, District of Columbia 20020"/>
        <s v="1301 Savannah Street Southeast, Washington, District of Columbia 20032"/>
        <s v="1630 Columbia Road Northwest, Washington, District of Columbia 20009"/>
        <s v="1715 North Capitol Street Northeast, Washington, District of Columbia 20002"/>
        <s v="1202 Longfellow Street Northwest, Washington, District of Columbia 20011"/>
        <s v="1445 Spring Road Northwest, Washington, District of Columbia 20010"/>
        <s v="1320 Main Drive Northwest, Washington, District of Columbia 20012"/>
        <s v="1001 Spring Road Northwest, Washington, District of Columbia 20010"/>
        <s v="3601 14th Street Northwest, Washington, District of Columbia 20010"/>
        <s v="1201 Perry Street Northeast, Washington, District of Columbia 20017"/>
        <s v="1313 11th Street Northwest, Washington, District of Columbia 20001"/>
        <s v="1650 Kenilworth Avenue Northeast, Washington, District of Columbia 20019"/>
        <s v="600 4th Street Southwest, Washington, District of Columbia 20024"/>
        <s v="2607 Reed Street Northeast, Washington, District of Columbia 20018"/>
        <s v="3117 Georgia Avenue Northwest, Washington, District of Columbia 20010"/>
        <s v="1417 Belmont Street Northwest, Washington, District of Columbia 20009"/>
        <s v="923 V Street Northwest, Washington, District of Columbia 20001"/>
        <s v="919 12th Street Northeast, Washington, District of Columbia 20002"/>
        <s v="818 Kennedy Street Northwest, Washington, District of Columbia 20011"/>
        <s v="759 18th St NE, Washington, District of Columbia 20002"/>
        <s v="1732 Montello Avenue Northeast, Washington, District of Columbia 20002"/>
        <s v="3300 11th Street Northwest, Washington, District of Columbia 20010"/>
        <s v="4328 Georgia Avenue Northwest, Washington, District of Columbia 20011"/>
        <s v="818 Bladensburg Road Northeast, Washington, District of Columbia 20002"/>
        <s v="1803 1/2 Monroe St NE, Washington, District of Columbia 20018"/>
        <s v="1005 Bunker Hill Road Northeast, Washington, District of Columbia 20018"/>
        <s v="4014 Georgia Avenue Northwest, Washington, District of Columbia 20011"/>
        <s v="1735 28th Street Southeast, Washington, District of Columbia 20020"/>
        <s v="1810 I Street Northeast, Washington, District of Columbia 20002"/>
        <s v="1400 Montana Avenue Northeast, Washington, District of Columbia 20018"/>
        <s v="410 Rhode Island Avenue Northeast, Washington, District of Columbia 20002"/>
        <s v="2131 9th Street Northwest, Washington, District of Columbia 20001"/>
        <s v="2505 Burns Street Southeast, Washington, District of Columbia 20020"/>
        <s v="1800 Half Street Southwest, Washington, District of Columbia 20024"/>
        <s v="7150 12th Street Northwest, Washington, District of Columbia 20012"/>
        <s v="300 8th St NE, Washington, District of Columbia 20002"/>
        <s v="1331 K Street SE, Washington, District of Columbia 20003"/>
        <s v="1122 Bladensburg Road Northeast, Washington, District of Columbia 20002"/>
        <s v="1928 Naylor Road Southeast, Washington, District of Columbia 20020"/>
        <s v="800 Southern Avenue Southeast, Washington, District of Columbia 20032"/>
        <s v="740 19th Street Northeast, Washington, District of Columbia 20002"/>
        <s v="3619 12th Street Northeast, Washington, District of Columbia 20017"/>
        <s v="1317 11th Street Northwest, Washington, District of Columbia 20001"/>
        <s v="5508 7th Street Northwest, Washington, District of Columbia 20011"/>
        <s v="3569 Warder Street Northwest, Washington, District of Columbia 20010"/>
        <s v="2433 Elvans Road Southeast, Washington, District of Columbia 20020"/>
        <s v="2501 West Street Southeast, Washington, District of Columbia 20020"/>
        <s v="1723 Montello Avenue Northeast, Washington, District of Columbia 20002"/>
        <s v="2224 Savannah Terrace Southeast, Washington, District of Columbia 20020"/>
        <s v="2549 Elvans Road Southeast, Washington, District of Columbia 20020"/>
        <s v="1001 Bryant Street Northeast, Washington, District of Columbia 20018"/>
        <s v="1307 Longfellow Street Northwest, Washington, District of Columbia 20011"/>
        <s v="1010 17th Street Northeast, Washington, District of Columbia 20002"/>
        <s v="1504 North Capitol Street Northwest, Washington, District of Columbia 20002"/>
        <s v="2912 Stanton Road Southeast, Washington, District of Columbia 20020"/>
        <s v="2641 4th Street Northeast, Washington, District of Columbia 20002"/>
        <s v="1916 15th Street Southeast, Washington, District of Columbia 20020"/>
        <s v="2641 14th Street Northwest, Washington, District of Columbia 20011"/>
        <s v="1515 North Capitol Street Northeast, Washington, District of Columbia 20002"/>
        <s v="2323 Martin Luther King Jr Avenue Southeast, Washington, District of Columbia 20020"/>
        <s v="505 Jefferson Street NW, Washington, District of Columbia 20011"/>
        <s v="680 Rhode Island Avenue Northeast, Washington, District of Columbia 20002"/>
        <s v="1949 Naylor Road Southeast, Washington, District of Columbia 20020"/>
        <s v="611 Kennedy Street Northwest, Washington, District of Columbia 20011"/>
        <s v="4920 Nash Street Northeast, Washington, District of Columbia 20019"/>
        <s v="4732 Sheriff Road Northeast, Washington, District of Columbia 20019"/>
        <s v="3315 11th Street Northwest, Washington, District of Columbia 20010"/>
        <s v="5900 Foote Street Northeast, Washington, District of Columbia 20019"/>
        <s v="2604 29th Street Southeast, Washington, District of Columbia 20020"/>
        <s v="2622 University Place Northwest, Washington, District of Columbia 20009"/>
        <s v="1420 R Street Northwest, Washington, District of Columbia 20009"/>
        <s v="22 Banner Ln NW, Washington, District of Columbia 20002"/>
        <s v="3534 13th Street Northwest, Washington, District of Columbia 20010"/>
        <s v="1335 Pennsylvania Avenue Southeast, Washington, District of Columbia 20003"/>
        <s v="505 Kennedy Street Northwest, Washington, District of Columbia 20011"/>
        <s v="4633 41st Street Northwest, Washington, District of Columbia 20016"/>
        <s v="1214 Bladensburg Road Northeast, Washington, District of Columbia 20002"/>
        <s v="1915 Benning Road Northeast, Washington, District of Columbia 20002"/>
        <s v="1258 Talbert Street Southeast, Washington, District of Columbia 20020"/>
        <s v="400 I Street Southwest, Washington, District of Columbia 20024"/>
        <s v="801 New Jersey Avenue Northwest, Washington, District of Columbia 20001"/>
        <s v="3044 30th Street Southeast, Washington, District of Columbia 20020"/>
        <s v="218 Cedar Street Northwest, Washington, District of Columbia 20012"/>
        <s v="1525 Good Hope Road Southeast, Washington, District of Columbia 20020"/>
        <s v="2230 Nicholson Street Southeast, Washington, District of Columbia 20020"/>
        <s v="1913 17th Street Southeast, Washington, District of Columbia 20020"/>
        <s v="1517 Young Street Southeast, Washington, District of Columbia 20020"/>
        <s v="1444 Independence Avenue Southeast, Washington, District of Columbia 20003"/>
        <s v="313 Kennedy Street Northwest, Washington, District of Columbia 20011"/>
        <s v="2220 11th Street Northwest, Washington, District of Columbia 20001"/>
        <s v="1600 Good Hope Road Southeast, Washington, District of Columbia 20020"/>
        <s v="5543 South Dakota Avenue Northeast, Washington, District of Columbia 20011"/>
        <s v="2217 Minnesota Avenue Southeast, Washington, District of Columbia 20020"/>
        <s v="3006 Martin Luther King Jr Avenue Southeast, Washington, District of Columbia 20032"/>
        <s v="256 15th Street Southeast, Washington, District of Columbia 20003"/>
        <s v="5816 Georgia Avenue Northwest, Washington, District of Columbia 20011"/>
        <s v="79 Hanover Place NW, Washington, District of Columbia 20001"/>
        <s v="3743 12th Street Northeast, Washington, District of Columbia 20017"/>
        <s v="30 Kennedy Street Northwest, Washington, District of Columbia 20011"/>
        <s v="714 Girard Street Northwest, Washington, District of Columbia 20001"/>
        <s v="304 Florida Avenue Northwest, Washington, District of Columbia 20001"/>
        <s v="1419 Spring Road Northwest, Washington, District of Columbia 20010"/>
        <s v="7428 Georgia Avenue Northwest, Washington, District of Columbia 20012"/>
        <s v="93 Hawaii Avenue Northeast, Washington, District of Columbia 20011"/>
        <s v="1639 V Street Southeast, Washington, District of Columbia 20020"/>
        <s v="1123 Sycamore Drive Southeast, Washington, District of Columbia 20020"/>
        <s v="60 I Street Southwest, Washington, District of Columbia 20024"/>
        <s v="1001 Rhode Island Avenue Northeast, Washington, District of Columbia 20018"/>
        <s v="3071 4th Street Northeast, Washington, District of Columbia 20002"/>
        <s v="785 Lamont Street Northwest, Washington, District of Columbia 20010"/>
        <s v="4272 7th Street Southeast, Washington, District of Columbia 20032"/>
        <s v="1603 Benning Road Northeast, Washington, District of Columbia 20002"/>
        <s v="14 P Street Northwest, Washington, District of Columbia 20007"/>
        <s v="623 Kennedy Street Northwest, Washington, District of Columbia 20011"/>
        <s v="2219 Town Center Drive SE, Washington, District of Columbia 20020"/>
        <s v="4408 Georgia Avenue Northwest, Washington, District of Columbia 20011"/>
        <s v="705 Euclid Street Northwest, Washington, District of Columbia 20001"/>
        <s v="4916 Nash Street Northeast, Washington, District of Columbia 20019"/>
        <s v="4912 Nash Street Northeast, Washington, District of Columbia 20019"/>
        <s v="423 Quincy Street Northwest, Washington, District of Columbia 20011"/>
        <s v="4012 Georgia Avenue Northwest, Washington, District of Columbia 20011"/>
        <s v="429 13th Street Northeast, Washington, District of Columbia 20002"/>
        <s v="4905 Georgia Avenue Northwest, Washington, District of Columbia 20011"/>
        <s v="1020 Florida Avenue Northeast, Washington, District of Columbia 20002"/>
        <s v="38 Porter Street Northeast, Washington, District of Columbia 20002"/>
        <s v="1031 Kearny Street Northeast, Washington, District of Columbia 20017"/>
        <s v="1358 Florida Avenue Northeast, Washington, District of Columbia 20002"/>
        <s v="826 Kennedy Street Northwest, Washington, District of Columbia 20011"/>
        <s v="400 Florida Avenue Northeast, Washington, District of Columbia 20002"/>
        <s v="2801 14th Street Northwest, Washington, District of Columbia 20009"/>
        <s v="3301 23rd Street Southeast, Washington, District of Columbia 20020"/>
        <s v="4518 3rd Street Southeast, Washington, District of Columbia 20032"/>
        <s v="7175 12th Street Northwest, Washington, District of Columbia 20012"/>
        <s v="1155 Dahlia Street Northwest, Washington, District of Columbia 20012"/>
        <s v="2305 Nicholson Street Southeast, Washington, District of Columbia 20020"/>
        <s v="611 Florida Avenue Northwest, Washington, District of Columbia 20001"/>
        <s v="4865 Macarthur Boulevard Northwest, Washington, District of Columbia 20007"/>
        <s v="3934 14th Street Northwest, Washington, District of Columbia 20011"/>
        <s v="1325 5th Street Northeast, Washington, District of Columbia 20002"/>
        <s v="2237 12th Street Northwest, Washington, District of Columbia 20009"/>
        <s v="2243 12th Street Northwest, Washington, District of Columbia 20009"/>
        <s v="1036 Newton Street NE, Washington, District of Columbia 20017"/>
        <s v="1002 Rhode Island Avenue Northeast, Washington, District of Columbia 20018"/>
        <s v="225 Vine Street Northwest, Washington, District of Columbia 20012"/>
        <s v="912 U Street Northwest, Washington, District of Columbia 20001"/>
        <s v="1328 16th Street Northwest, Washington, District of Columbia 20036"/>
        <s v="4501 Blaine Street Northeast, Washington, District of Columbia 20019"/>
        <s v="2005 11th Street Northwest, Washington, District of Columbia 20001"/>
        <s v="2601 30th Street Northeast, Washington, District of Columbia 20018"/>
        <s v="1395 Aspen Street Northwest, Washington, District of Columbia 20012"/>
        <s v="5907 Dix Street Northeast, Washington, District of Columbia 20019"/>
        <s v="2483 Alabama Avenue Southeast, Washington, District of Columbia 20020"/>
        <s v="4726 Sheriff Road Northeast, Washington, District of Columbia 20019"/>
        <s v="737 50th Street Northeast, Washington, District of Columbia 20019"/>
        <s v="429 Kennedy Street Northwest, Washington, District of Columbia 20011"/>
        <s v="2001 I Street Northeast, Washington, District of Columbia 20002"/>
        <s v="22 Kennedy Street Northwest, Washington, District of Columbia 20011"/>
        <s v="726 51st Street Northeast, Washington, District of Columbia 20019"/>
        <s v="20 Ridge Square Northwest, Washington, District of Columbia 20016"/>
        <s v="4000 Wisconsin Avenue Northwest, Washington, District of Columbia 20016"/>
        <s v="3408 Connecticut Avenue Northwest, Washington, District of Columbia 20008"/>
        <s v="4111 Connecticut Avenue Northwest, Washington, District of Columbia 20008"/>
        <s v="721 16th Street Northeast, Washington, District of Columbia 20002"/>
        <s v="113 Potomac Avenue Southwest, Washington, District of Columbia 20024"/>
        <s v="1006 Florida Avenue Northeast, Washington, District of Columbia 20002"/>
        <s v="2365 Rhode Island Avenue Northeast, Washington, District of Columbia 20018"/>
        <s v="1019 17th Place Northeast, Washington, District of Columbia 20002"/>
        <s v="1009 Rhode Island Avenue Northeast, Washington, District of Columbia 20018"/>
        <s v="1015 Spring Road Northwest, Washington, District of Columbia 20010"/>
        <s v="5455 Western Avenue Northwest, Washington, District of Columbia 20015"/>
        <s v="5300 Wisconsin Avenue Northwest, Washington, District of Columbia 20015"/>
        <s v="5333 Wisconsin Avenue Northwest, Washington, District of Columbia 20015"/>
        <s v="732 Kennedy Street Northwest, Washington, District of Columbia 20011"/>
        <s v="325 Morse Street Northeast, Washington, District of Columbia 20002"/>
        <s v="300 Neal Place Northeast, Washington, District of Columbia 20002"/>
        <s v="1325 27th Street Southeast, Washington, District of Columbia 20020"/>
        <s v="33 K Street Northwest, Washington, District of Columbia 20001"/>
        <s v="30 Ridge Square Northwest, Washington, District of Columbia 20016"/>
        <s v="3923 14th Street Northwest, Washington, District of Columbia 20011"/>
        <s v="5717 Dix Street Northeast, Washington, District of Columbia 20019"/>
        <s v="1400 Aspen Street Northwest, Washington, District of Columbia 20012"/>
        <s v="3220 Prospect Street Northwest, Washington, District of Columbia 20007"/>
        <s v="2385 Rhode Island Avenue Northeast, Washington, District of Columbia 20018"/>
        <s v="1301 11th Street Northwest, Washington, District of Columbia 20001"/>
        <s v="2711 Georgia Avenue Northwest, Washington, District of Columbia 20001"/>
        <s v="1319 South Capitol Street Southwest, Washington, District of Columbia 20003"/>
        <s v="2225 M Street Northeast, Washington, District of Columbia 20002"/>
        <s v="1730 Montello Avenue Northeast, Washington, District of Columbia 20002"/>
        <s v="828 Taylor Street Northeast, Washington, District of Columbia 20017"/>
        <s v="824 Taylor Street Northeast, Washington, District of Columbia 20017"/>
        <s v="1011 Rhode Island Avenue Northeast, Washington, District of Columbia 20018"/>
        <s v="2359 Ontario Road Northwest, Washington, District of Columbia 20009"/>
        <s v="5759 13th Street Northwest, Washington, District of Columbia 20011"/>
        <s v="2585 Naylor Road Southeast, Washington, District of Columbia 20020"/>
        <s v="1507 19th Street Southeast, Washington, District of Columbia 20020"/>
        <s v="2023 4th Street Northeast, Washington, District of Columbia 20002"/>
        <s v="2652 Martin Luther King Jr Avenue Southeast, Washington, District of Columbia 20020"/>
        <s v="950 South Capitol Street Southeast, Washington, District of Columbia 20003"/>
        <s v="1800 Hamlin Street Northeast, Washington, District of Columbia 20018"/>
        <s v="7050 Eastern Avenue Northwest, Washington, District of Columbia 20012"/>
        <s v="1708 1st Street Northeast, Washington, District of Columbia 20002"/>
        <s v="1610 16th Street Northwest, Washington, District of Columbia 20009"/>
        <s v="2637 16th Street Northwest, Washington, District of Columbia 20009"/>
        <s v="1701 Park Road Northwest, Washington, District of Columbia 20010"/>
        <s v="26 14th Street Southeast, Washington, District of Columbia 20003"/>
        <s v="3500 12th Street Northeast, Washington, District of Columbia 20017"/>
        <s v="2151 California Street Northwest, Washington, District of Columbia 20008"/>
        <s v="3218 Wisconsin Avenue Northwest, Washington, District of Columbia 20016"/>
        <s v="3400 Commodore Joshua Barney Drive Northeast, Washington, District of Columbia 20018"/>
        <s v="2917 Knox Place Southeast, Washington, District of Columbia 20020"/>
        <s v="5835 Colorado Avenue Northwest, Washington, District of Columbia 20011"/>
        <s v="1000 H Street Northeast, Washington, District of Columbia 20002"/>
        <s v="5301 Georgia Avenue Northwest, Washington, District of Columbia 20011"/>
        <s v="2420 Martin Luther King Jr Avenue Southeast, Washington, District of Columbia 20020"/>
        <s v="1836 Kalorama Road Northwest, Washington, District of Columbia 20009"/>
        <s v="309 H Street Northeast, Washington, District of Columbia 20002"/>
        <s v="2005 M Street Northeast, Washington, District of Columbia 20002"/>
        <s v="2530 Park Place Southeast, Washington, District of Columbia 20020"/>
        <s v="5425 Western Avenue Northwest, Washington, District of Columbia 20015"/>
        <s v="700 Kenilworth Terrace Northeast, Washington, District of Columbia 20019"/>
        <s v="2611 12th Place Southeast, Washington, District of Columbia 20020"/>
        <s v="2817 Buena Vista Terrace Southeast, Washington, District of Columbia 20020"/>
        <s v="5433 Georgia Avenue Northwest, Washington, District of Columbia 20011"/>
        <s v="214 Varnum Street Northwest, Washington, District of Columbia 20011"/>
        <s v="2211 Minnesota Avenue Southeast, Washington, District of Columbia 20020"/>
        <s v="3461 14th Street Northwest, Washington, District of Columbia 20010"/>
        <s v="4457 Macarthur Boulevard Northwest, Washington, District of Columbia 20007"/>
        <s v="906 55th Street Northeast, Washington, District of Columbia 20019"/>
        <s v="801 R Street Northwest, Washington, District of Columbia 20001"/>
        <s v="2015 Jackson Street Northeast, Washington, District of Columbia 20018"/>
        <s v="806 14th Street Northeast, Washington, District of Columbia 20002"/>
        <s v="1716 Rhode Island Avenue Northeast, Washington, District of Columbia 20018"/>
        <s v="1322 9th Street Northwest, Washington, District of Columbia 20001"/>
        <s v="2739 Martin Luther King Jr Avenue Southeast, Washington, District of Columbia 20032"/>
        <s v="1525 19th Street Southeast, Washington, District of Columbia 20020"/>
        <s v="646 H Street Northeast, Washington, District of Columbia 20002"/>
        <s v="2601 Virginia Avenue Northwest, Washington, District of Columbia 20037"/>
        <s v="3619 Georgia Avenue Northwest, Washington, District of Columbia 20010"/>
        <s v="50 Florida Avenue Northeast, Washington, District of Columbia 20002"/>
        <s v="2619 Bladensburg Road Northeast, Washington, District of Columbia 20018"/>
        <s v="3110 Georgia Ave NW, Washington, District of Columbia 20010"/>
        <s v="1550 1st St SW, Washington, District of Columbia 20024"/>
        <s v="6896 Laurel Street Northwest, Washington, District of Columbia 20012"/>
        <s v="1901 C Street Southeast, Washington, District of Columbia 20003"/>
        <s v="1331 Yards Place Southeast, Washington, District of Columbia 20003"/>
        <s v="101 V Street Southwest, Washington, District of Columbia 20593"/>
        <s v="2000 2nd Street Southwest, Washington, District of Columbia 20024"/>
        <s v="2099 1st Street SW, Washington, District of Columbia 20024"/>
        <s v="1617 Rhode Island Avenue Northeast, Washington, District of Columbia 20018"/>
        <s v="1100 Dahlia Street Northwest, Washington, District of Columbia 20012"/>
        <s v="4256 Benning Road Northeast, Washington, District of Columbia 20019"/>
        <s v="2321 Ontario Road Northwest, Washington, District of Columbia 20009"/>
        <s v="1310 L Street Southeast, Washington, District of Columbia 20003"/>
        <s v="4311 Sheriff Road Northeast, Washington, District of Columbia 20019"/>
        <s v="1641 R Street Northwest, Washington, District of Columbia 20009"/>
        <s v="2213 M Street Northeast, Washington, District of Columbia 20002"/>
        <s v="300 12th Street Southwest, Washington, District of Columbia 20024"/>
        <s v="918 Kennedy Street Northwest, Washington, District of Columbia 20011"/>
        <s v="1307 K Street Southeast, Washington, District of Columbia 20003"/>
        <s v="1627 Benning Road Northeast, Washington, District of Columbia 20002"/>
        <s v="2303 Elvans Road Southeast, Washington, District of Columbia 20020"/>
        <s v="2838 Langston Place Southeast, Washington, District of Columbia 20020"/>
        <s v="2601 14th Street Northwest, Washington, District of Columbia 20011"/>
        <s v="733 8th Street Southeast, Washington, District of Columbia 20003"/>
        <s v="632 Howard Road Southeast, Washington, District of Columbia 20020"/>
        <s v="3308 Sherman Avenue Northwest, Washington, District of Columbia 20010"/>
        <s v="2474 Alabama Avenue Southeast, Washington, District of Columbia 20020"/>
        <s v="11 Nicholson Street Northwest, Washington, District of Columbia 20011"/>
        <s v="3435 Holmead Place Northwest, Washington, District of Columbia 20010"/>
        <s v="5501 7th Street Northwest, Washington, District of Columbia 20011"/>
        <s v="501 Kennedy Street Northwest, Washington, District of Columbia 20011"/>
        <s v="1335 11th Street Northwest, Washington, District of Columbia 20001"/>
        <s v="701 K Street Northeast, Washington, District of Columbia 20002"/>
        <s v="3831 Georgia Avenue Northwest, Washington, District of Columbia 20011"/>
        <s v="151 Q Street Northeast, Washington, District of Columbia 20002"/>
        <s v="2200 Georgia Avenue Northwest, Washington, District of Columbia 20001"/>
        <s v="71 Kennedy Street Northwest, Washington, District of Columbia 20011"/>
        <s v="423 Lamont Street Northwest, Washington, District of Columbia 20010"/>
        <s v="2628 Martin Luther King Jr Avenue Southeast, Washington, District of Columbia 20020"/>
        <s v="423 13th Street Northeast, Washington, District of Columbia 20002"/>
        <s v="2610 University Place Northwest, Washington, District of Columbia 20009"/>
        <s v="1613 22nd Street Southeast, Washington, District of Columbia 20020"/>
        <s v="929 19th Street Northeast, Washington, District of Columbia 20002"/>
        <s v="1313 Pennsylvania Avenue Southeast, Washington, District of Columbia 20003"/>
        <s v="1812 H Place Northeast, Washington, District of Columbia 20002"/>
        <s v="3132 16th Street Northwest, Washington, District of Columbia 20010"/>
        <s v="630 Kenilworth Terrace Northeast, Washington, District of Columbia 20019"/>
        <s v="2570 Sherman Avenue Northwest, Washington, District of Columbia 20001"/>
        <s v="1349 Kenyon Street Northwest, Washington, District of Columbia 20010"/>
        <s v="250 K Street Northeast, Washington, District of Columbia 20002"/>
        <s v="1100 Bladensburg Road Northeast, Washington, District of Columbia 20002"/>
        <s v="850 20th Street Northeast, Washington, District of Columbia 20002"/>
        <s v="3829 14th Street Northwest, Washington, District of Columbia 20011"/>
        <s v="232 Parker Street Northeast, Washington, District of Columbia 20002"/>
        <s v="1201 L Street Northwest, Washington, District of Columbia 20005"/>
        <s v="611 Edgewood Street Northeast, Washington, District of Columbia 20017"/>
        <s v="4915 Quarles Street Northeast, Washington, District of Columbia 20019"/>
        <s v="3411 Georgia Avenue Northwest, Washington, District of Columbia 20010"/>
        <s v="2121 Ward Place Northwest, Washington, District of Columbia 20037"/>
        <s v="2601 Calvert Street Northwest, Washington, District of Columbia 20008"/>
        <s v="2650 Woodley Road Northwest, Washington, District of Columbia 20008"/>
        <s v="1821 Gainesville Street Southeast, Washington, District of Columbia 20020"/>
        <s v="701 Monroe Street Northeast, Washington, District of Columbia 20017"/>
        <s v="1124 Florida Avenue Northeast, Washington, District of Columbia 20002"/>
        <s v="801 17th Street Northeast, Washington, District of Columbia 20002"/>
        <s v="2026 Jackson Street Northeast, Washington, District of Columbia 20018"/>
        <s v="2626 Tunlaw Road Northwest, Washington, District of Columbia 20007"/>
        <s v="1732 15th Street Northwest, Washington, District of Columbia 20009"/>
        <s v="2215 Minnesota Avenue Southeast, Washington, District of Columbia 20020"/>
        <s v="654 Girard Street Northwest, Washington, District of Columbia 20001"/>
        <s v="1550 Branch Avenue Southeast, Washington, District of Columbia 20020"/>
        <s v="1661 Gales Street Northeast, Washington, District of Columbia 20002"/>
        <s v="2629 Stanton Road Southeast, Washington, District of Columbia 20020"/>
        <s v="3726 10th Street Northeast, Washington, District of Columbia 20017"/>
      </sharedItems>
    </cacheField>
    <cacheField name="PROJECT_NAME" numFmtId="0">
      <sharedItems>
        <s v="28th Place, SE"/>
        <s v="Avec"/>
        <s v="2200-2210 Hunter Place, SE"/>
        <s v="49-53 Missouri Ave NW"/>
        <s v="Brookland Place Apartments"/>
        <s v="Liberty Place Apartments"/>
        <s v="5400 5th St Acquisition"/>
        <s v="Capitol Vista"/>
        <s v="1736 Rhode Island Ave NE"/>
        <s v="Todd A. Lee Senior Residences at Kennedy Street"/>
        <s v="Brightwood Gardens"/>
        <s v="Crawford Landing Townhomes"/>
        <s v="The Appleton Spring Flats Senior 9% - fka Hebrew Home"/>
        <s v="Waterfront Station II - The Westerly"/>
        <s v="The Yards Parcel L2 - The Estate"/>
        <s v="M2R_MA"/>
        <s v="The Jacob"/>
        <s v="2812 Georgia Ave NW"/>
        <s v="The Mo (440 Penn Street NE)"/>
        <s v="The Strand Residences - 5127 Nannie Helen Burroughs Ave NE"/>
        <s v="Eckington Park - ONE501 - 1501 Harry Thomas Way,"/>
        <s v="Providence Place - NCI"/>
        <s v="3450 Eads St NE/3443 Benning Road"/>
        <s v="1200 Varnum Street NE - Josephites / EYA rowhouse"/>
        <s v="Washington Gateway Phase II - The Burton"/>
        <s v="The Maren - Florida Rock PUD - stage 2 residential building"/>
        <s v="Central Armature Works (Rigby and Market House)"/>
        <s v="Morse Apartments"/>
        <s v="1701 H St NE (Benning Rd)"/>
        <s v="301 - 331 N Street NE"/>
        <s v="The Gantry  (Building A1) - Union Market Terminal Stage 1 Consolidated PUD"/>
        <s v="Eckington Yards (Judd &amp; Weiler, City Homes, 1625 Eckington)"/>
        <s v="1401 Pennsylvania Ave SE"/>
        <s v="300 M Street NE"/>
        <s v="22 Atlantic Cooperative Association, Inc. (Acq)"/>
        <s v="Intersect at O - 8th/O Street NW"/>
        <s v="Barry Farm - Onsite Building 1B (The Asberry)"/>
        <s v="DCHA Headquarters - Phase 1"/>
        <s v="Delta Towers"/>
        <s v="Hill East Phase I - The Ethel (Parcel F-1)"/>
        <s v="Northwest One - Phase 1"/>
        <s v="Parcel 42"/>
        <s v="Park Morton - Onsite Phase 1"/>
        <s v="Gallery 64/Museum Place - Randall School redevelopment"/>
        <s v="Saint Elizabeths East Campus Redevelopment Phase I"/>
        <s v="The Wren"/>
        <s v="South Capitol Multi-Family Building"/>
        <s v="Cycle House"/>
        <s v="1511 A Street NE"/>
        <s v="The V at Georgia Ave"/>
        <s v="Old Engine Co. 13"/>
        <s v="Grimke Elementary School Phase 2"/>
        <s v="Ainger Place"/>
        <s v="RiverPoint"/>
        <s v="Watkins Alley"/>
        <s v="917 Sheridan"/>
        <s v="Rushmore"/>
        <s v="2009 8th St NW"/>
        <s v="Mercer Lofts"/>
        <s v="Avidian"/>
        <s v="836 Varnum St NW"/>
        <s v="838 Varnum St NW"/>
        <s v="Cynthia Towns"/>
        <s v="2213 14th ST NW"/>
        <s v="4804 Georgia Ave NW"/>
        <s v="7700 Georgia"/>
        <s v="5301-5303 Connecticut Ave NW"/>
        <s v="1605 Good Hope Rd SE"/>
        <s v="Anacostia Gardens Apartments"/>
        <s v="Randle Hill Apts"/>
        <s v="Stanton Square Apartments"/>
        <s v="1320 4th Street NE"/>
        <s v="MDXL Flats"/>
        <s v="1900 Half Street SW"/>
        <s v="Building A2 (Margarite) - Union Market Terminal Stage 2 PUD"/>
        <s v="The Yards - Parcel I (Vela)"/>
        <s v="4 R Street Northwest"/>
        <s v="Beckert's Park (Capitol Hill Apartments on 14th)"/>
        <s v="WRAMC - V/U-A/B (The Brooks and The Vale)"/>
        <s v="The Tides and Amaris (Parcel 8 and 9) - The Wharf  Phase II"/>
        <s v="1028 Bladensburg Rd NE"/>
        <s v="205 V St NW"/>
        <s v="Flats at Atlas Phase II"/>
        <s v="3201 8th Street NE"/>
        <s v="Washington Gateway Phase III - The 202 (South Residential Tower)"/>
        <s v="1100 Eastern Ave NE"/>
        <s v="3500 East Capitol Street NE Solstice Phase II"/>
        <s v="Mary's House"/>
        <s v="Petworth Station Feb 2018"/>
        <s v="SOME - Anna Cooper House / Scattered Site III"/>
        <s v="1532 North Capitol NW"/>
        <s v="1203 Jefferson St NW"/>
        <s v="1416 Quincy St NW"/>
        <s v="1408-1410 Quincy St NW"/>
        <s v="1729 T St NW"/>
        <s v="1212 Talbert St SE"/>
        <s v="Rhode Island Condos"/>
        <s v="2027 Rhode Island Ave NE"/>
        <s v="The Shaw"/>
        <s v="WSH 7K"/>
        <s v="Rhode Island Ave"/>
        <s v="1400 W ST NW"/>
        <s v="Livingston Road Senior Apartments"/>
        <s v="SOME Scattered Site IV - 4111 Kansas Ave NW"/>
        <s v="Riggs Park Place - Fort Totten Phase 1 (Townhome)"/>
        <s v="2612 4th St NE"/>
        <s v="927 Kennedy St NW"/>
        <s v="2905-2909 Georgia Ave NW"/>
        <s v="Kenilworth 166 - Kenilworth Courts Phase 1"/>
        <s v="801 N St NW"/>
        <s v="88 V St SW"/>
        <s v="26th Place Flats"/>
        <s v="Aramko condominium"/>
        <s v="1731 Kalorama Rd NW"/>
        <s v="The Liz"/>
        <s v="Ashton Park"/>
        <s v="1460 Belmont St NW"/>
        <s v="218 Vine St NW - 4%"/>
        <s v="Homes Within Reach"/>
        <s v="17 Mississippi Ave SE"/>
        <s v="2442 MLK"/>
        <s v="Savannah Apartments II"/>
        <s v="1630 Columbia RD NW"/>
        <s v="1715 North Capitol Street NE"/>
        <s v="1202 Longfellow"/>
        <s v="1445 Spring Rd NW Renovation"/>
        <s v="WRAMC - Abrams Hall Assisted Living (Building 14N)"/>
        <s v="The Robeson - Spring Flats Family - Affordable"/>
        <s v="3601 14th ST NW"/>
        <s v="1201 Perry ST NE"/>
        <s v="1313 11th ST NW"/>
        <s v="The Residences at Kenilworth Park"/>
        <s v="The Kiley"/>
        <s v="2607 Reed St. NE"/>
        <s v="3117 Georgia Ave NW"/>
        <s v="1417 Belmont ST NW"/>
        <s v="923 V St NW"/>
        <s v="OFF Twelfth"/>
        <s v="818 Kennedy St NW"/>
        <s v="759 18th St NE"/>
        <s v="1732 Montello Ave NE"/>
        <s v="3300-3316 11th ST NW"/>
        <s v="4328 Georgia Ave NW"/>
        <s v="818 Bladensburg Rd NE"/>
        <s v="1803 1/2 Monroe St NE"/>
        <s v="Mary House"/>
        <s v="4014 Georgia Ave NW"/>
        <s v="1735 28th St SE"/>
        <s v="1810 I St NE"/>
        <s v="1400 Montana Ave NE"/>
        <s v="Rialto"/>
        <s v="9th and W"/>
        <s v="Penn Flats 16"/>
        <s v="Verge - 1800 Half St SW"/>
        <s v="WRAMC - The Hartley (Building IJ)"/>
        <s v="300 8th St NE"/>
        <s v="1329 &amp; 1331 K ST Condos"/>
        <s v="1122-1124 Bladensburg Rd NE"/>
        <s v="MEDES"/>
        <s v="The Appleton - Spring Flats Senior 4 % - fka Hebrew Home"/>
        <s v="Park Southern Apartments - Summer 2018"/>
        <s v="740 19th St NE"/>
        <s v="3619 12th St NE"/>
        <s v="1317 11th St NW"/>
        <s v="5508 7th St NW"/>
        <s v="3569 Warder St NW"/>
        <s v="2411-2433 Elvans Road SE"/>
        <s v="Douglass Townhomes"/>
        <s v="1723 Montello Ave NE"/>
        <s v="Woodberry Village"/>
        <s v="Skyline Apartments (formerly Forest Ridge and The Vistas)"/>
        <s v="1001 Bryant Street NE"/>
        <s v="1307 Longfellow St NW"/>
        <s v="1010 17th St NE"/>
        <s v="1504 North Capitol St NW"/>
        <s v="Townes at Stanton Square"/>
        <s v="Flats on Fourth"/>
        <s v="1916 15th St SE"/>
        <s v="Faircliff Plaza East"/>
        <s v="SOME North Capitol Street 2019"/>
        <s v="The Clara On MLK"/>
        <s v="505 Jefferson Street NW Renovation"/>
        <s v="680 Rhode Island Ave NE"/>
        <s v="1949 Naylor Road SE"/>
        <s v="611 Kennedy Street NW"/>
        <s v="4920 Nash St NE"/>
        <s v="4732 Sheriff Road NE"/>
        <s v="3315 11th St NW"/>
        <s v="5900 Foote St NE"/>
        <s v="2604 29th St SE"/>
        <s v="University Place Condos"/>
        <s v="Ritch Homes Apartments"/>
        <s v="Banner Lane (Sursum Corda Phase 1, South Parcel)"/>
        <s v="3532 1/2 -3534 13th Street NW"/>
        <s v="1335 Pennsylvania Ave SE"/>
        <s v="505 Kennedy St NW"/>
        <s v="4633 41st St NW"/>
        <s v="1214 Bladensburg Rd NE"/>
        <s v="1915 Benning Road NE"/>
        <s v="Talbert-Morris Residences"/>
        <s v="Westminster Presbyterian Church Redevelopment - 400 I St SW"/>
        <s v="Alta 801"/>
        <s v="3044 30th St SE"/>
        <s v="218 Cedar St NW"/>
        <s v="1525 Good Hope Rd SE"/>
        <s v="2230 Nicholson St SE"/>
        <s v="1913 17th St SE"/>
        <s v="1517 Young St SE"/>
        <s v="1444 Independence Ave SE"/>
        <s v="313 - 317 Kennedy St NW"/>
        <s v="2220 11th St NW"/>
        <s v="1600 Good Hope Rd SE"/>
        <s v="Riggs Crossing Senior Residences - Fort Totten Phase 2 (Multifamily Senior)"/>
        <s v="2217 Minnesota Ave SE"/>
        <s v="3006 Martin Luther King Jr Ave SE"/>
        <s v="256 15th St SE"/>
        <s v="5816 Georgia Ave NW"/>
        <s v="79 Hanover Pl NW"/>
        <s v="3743 12th St NE"/>
        <s v="30 Kennedy St NW"/>
        <s v="714 Girard St NW"/>
        <s v="Hart Wardman Condos"/>
        <s v="1419 Spring Rd NW"/>
        <s v="Shepherd Park Apartments"/>
        <s v="93 Hawaii Ave NE"/>
        <s v="Anatra Condominium"/>
        <s v="District Towns at St. Elizabeths East"/>
        <s v="60 I St SW"/>
        <s v="1001 Rhode Island Ave NE"/>
        <s v="Brookland Grove"/>
        <s v="Arcade Sunshine - Building 2"/>
        <s v="Belmont Crossing Phase IA"/>
        <s v="The Paxton - Benning Road"/>
        <s v="14 P St. NW"/>
        <s v="623 Kennedy St. NW"/>
        <s v="Crest at Skyland Town Center"/>
        <s v="4408 Georgia Ave. NW"/>
        <s v="705 Euclid St. NW"/>
        <s v="4916 Nash St. NE"/>
        <s v="4912 Nash St. NE"/>
        <s v="423 Quincy St. NW"/>
        <s v="4012 Georgia Ave. NW"/>
        <s v="Kingsman (the), 429 13th Street NE"/>
        <s v="4905 Georgia Ave. NW"/>
        <s v="1020 Florida Ave. NE"/>
        <s v="38 Porter St. NE"/>
        <s v="1031 Kearny St. NE"/>
        <s v="1358 Florida Ave. NE"/>
        <s v="826 Kennedy St. NW"/>
        <s v="400 Florida Ave. NE"/>
        <s v="Carl F. West Estates"/>
        <s v="Terrace Manor Apartments 2019 RFP"/>
        <s v="Worthington Woods Apartments"/>
        <s v="WRAMC - The Kite House (Building O)"/>
        <s v="WRAMC - 1155 Dahlia Street (Building P)"/>
        <s v="2305 Nicholson St. SE"/>
        <s v="611 Florida Ave. NW"/>
        <s v="Fitzgerald of Palisades"/>
        <s v="14th Street Condos"/>
        <s v="Union Market PUD North Building"/>
        <s v="2237 12th St NW"/>
        <s v="2241-2243 12th Street Northwest"/>
        <s v="1036 Newton Street NE"/>
        <s v="1002 Rhode Island Avenue Northeast"/>
        <s v="225 Vine Street Northwest"/>
        <s v="Grimke Elementary School Phase 1 - The Fold"/>
        <s v="1650 O Street Northwest (1328 16th St NW)"/>
        <s v="Residences at Benning Road (4501 Blaine St NE)"/>
        <s v="2005 11th Street Northwest"/>
        <s v="2601 30th Street Northeast"/>
        <s v="WRAMC - SOME Karin House (Building 17)"/>
        <s v="Dix Street Manna"/>
        <s v="2483 Alabama Avenue Apartments"/>
        <s v="Deanwood Station"/>
        <s v="H.R. Crawford Gardens"/>
        <s v="429 - 431 Kennedy Street NW"/>
        <s v="2001 I Street NE"/>
        <s v="22 Kennedy St. Condos"/>
        <s v="726 51st St NE"/>
        <s v="218 Vine Street - 9%"/>
        <s v="City Ridge (former Fannie Mae) - Pkg 04"/>
        <s v="Upton Place - 4000 Wisconsin Ave NW"/>
        <s v="3400 - 3408 Connecticut Ave. NW"/>
        <s v="The Claire - 4111-4113 Connecticut Ave"/>
        <s v="721 16th St NE"/>
        <s v="Vermeer - 113 Potomac Ave SW"/>
        <s v="Florida Ave. Flats, 1006 Florida Ave. NE"/>
        <s v="2365 Rhode Island Ave. NE"/>
        <s v="1019 17th Place NE"/>
        <s v="1009 Rhode Island Ave. NE"/>
        <s v="The Rows at Spring Flats"/>
        <s v="Lisner Home Senior Residential"/>
        <s v="Mazza Gallerie Redevelopment"/>
        <s v="Friendship Center Redevelopment - 5333 Wisconsin Ave"/>
        <s v="732 Kennedy St NW"/>
        <s v="The Gantry  (Building B) - Union Market Terminal Stage 1 Consolidated PUD"/>
        <s v="Building D (Theory) - Union Market Terminal Stage 2 PUD"/>
        <s v="Park27 - Minnesota and 27th"/>
        <s v="Northwest One - Phase II"/>
        <s v="City Ridge (former Fannie Mae) - Pkg 03"/>
        <s v="3923 14th Street NW"/>
        <s v="Dix Street Residences"/>
        <s v="Aspen Street Cooperative"/>
        <s v="3220 Prospect Street NW"/>
        <s v="2385 Rhode Island Ave. NE"/>
        <s v="New Bethany Apartments (1301 11th Street NW)"/>
        <s v="2711 Georgia Ave. NW"/>
        <s v="1319 South Capitol St. SW"/>
        <s v="2229 M Street NE"/>
        <s v="1730 Montello Ave. NE"/>
        <s v="828 Taylor St. NE"/>
        <s v="824 Taylor Street NE"/>
        <s v="1011 Rhode Island Ave. NE"/>
        <s v="2359-2401 Ontario Road NW"/>
        <s v="5759-61 13th St NW"/>
        <s v="LIHTC Small Building Pool- NYT"/>
        <s v="19th Street Apartments"/>
        <s v="Angel's Gate"/>
        <s v="Parkway House Apartments"/>
        <s v="950 South Cap Street SE"/>
        <s v="Pleasant Grove Baptist Church Development"/>
        <s v="Elm Gardens Redevelopment"/>
        <s v="Eckington Mews PUD"/>
        <s v="Ravenel - Amazon Acquisition"/>
        <s v="Park Meridian - Amazon Acquisition"/>
        <s v="Park Regent - Amazon Acquisition"/>
        <s v="26 14th St SE"/>
        <s v="12th Street NE Miller"/>
        <s v="The Bobbi - Substantial Rehab"/>
        <s v="3218 Wisconsin Ave NW - Substantial Rehab"/>
        <s v="Wesley House - Preservation"/>
        <s v="2917 Knox Place SE"/>
        <s v="5835 Colorado Condominium"/>
        <s v="1000 H Street NE"/>
        <s v="5301 Georgia Avenue NW"/>
        <s v="2420 Martin Luther King Jr. Ave. SE"/>
        <s v="1836-1840 Kalorama Road NW"/>
        <s v="309 H Street NE"/>
        <s v="2005 M Street Condos"/>
        <s v="Park Place"/>
        <s v="Lisner Home Senior Affordable Assisted Living"/>
        <s v="Parkside Parcel 10 - Parkside PUD Block F"/>
        <s v="2611 12th Place Southeast"/>
        <s v="2817 Buena Vista Terrace SE"/>
        <s v="5433 Georgia Avenue NW"/>
        <s v="214 Varnum Street NW"/>
        <s v="2211 Minnesota Avenue SE"/>
        <s v="3461 14th Street Northwest"/>
        <s v="4457 Macarthur Boulevard NW"/>
        <s v="Deanwood/900 55th Street NE"/>
        <s v="Heritage at Shaw"/>
        <s v="2015 Jackson Street NE"/>
        <s v="On Fourteenth"/>
        <s v="1716 Rhode Island Avenue NE"/>
        <s v="9th Street Residences"/>
        <s v="2739 Martin Luther King Jr. Avenue SE"/>
        <s v="1525 19th Street Flats"/>
        <s v="646 H St NE"/>
        <s v="Boathouse"/>
        <s v="3619 Georgia Ave NW"/>
        <s v="The Lexicon"/>
        <s v="Diane's House"/>
        <s v="3110 &amp; 3112 Georgia Ave. NW"/>
        <s v="1550 1st St SW"/>
        <s v="6896 Laurel St. NW (6830 Laurel)"/>
        <s v="Hill East Phase I - Park Kennedy (Parcel G-1)"/>
        <s v="The Yards - Parcel H"/>
        <s v="The Stacks Building B - The Byron"/>
        <s v="The Stacks Building A - Everly"/>
        <s v="The Stacks Building C - Colette"/>
        <s v="1617 Rhode Island Ave NE"/>
        <s v="WRAMC - The Reynard (QRS)"/>
        <s v="WCI Benning Apartments"/>
        <s v="Elm Gardens"/>
        <s v="2319 Ontario Road NW"/>
        <s v="1310-1312 L Street SE"/>
        <s v="4311 Sheriff Road NE"/>
        <s v="1641 R St NW"/>
        <s v="2213 M St NE"/>
        <s v="Cotton Annex (300 12th St SW)"/>
        <s v="918 Kennedy Apartments"/>
        <s v="1307 K Street SE"/>
        <s v="1627 Benning Road NE"/>
        <s v="Overlook at Anacostia, 2303 Elvans Road SE"/>
        <s v="2838 Langston Place SE"/>
        <s v="Novel 14th (2601 14th Street NW)"/>
        <s v="733 8th Street SE"/>
        <s v="The Douglass (632 Howard Road SE) - Bridge District Phase I"/>
        <s v="La Union Buena Vista"/>
        <s v="Yoke Alabama Ave"/>
        <s v="11 Nicholson St NW"/>
        <s v="Wesley Holmead"/>
        <s v="5501-5503 7th Street NW"/>
        <s v="501 Kennedy Street NW"/>
        <s v="1335 11th Street NW"/>
        <s v="701 K St NE Cooperative"/>
        <s v="Augusta Apartments (3831 Georgia Ave. NW)"/>
        <s v="The Gale Eckington - TOPA New Covenant"/>
        <s v="Howard/Quadrangle Development (McDonald's)"/>
        <s v="5501 1st Street NW"/>
        <s v="423 Lamont Street NW"/>
        <s v="2628 Martin Luther King Jr. Ave SE"/>
        <s v="423 13th Street NE"/>
        <s v="2610 University Place NW"/>
        <s v="1613-1617 22nd St. SE"/>
        <s v="929 19th Street NE"/>
        <s v="1313 Pennsylvania Residences"/>
        <s v="1812 H Place NE"/>
        <s v="Mount Pleasant Preservation Project - Sarbin Towers, Park Marconi, Richman Towers"/>
        <s v="Parkside Parcel 8 - Parkside PUD Block F"/>
        <s v="Baldwin House Cooperative "/>
        <s v="The Bobbi (fka The Amelia &amp; Paul Apartments) - Acquisition/Critical Repairs"/>
        <s v="Kenyon House"/>
        <s v="Loree Grand - New Covenant (WHC/Amazon)"/>
        <s v="1100 Bladensburg Condos"/>
        <s v="850-854 20th Street NE"/>
        <s v="3829-3831 14th Street NW"/>
        <s v="232 Parker St. Residences"/>
        <s v="1201 L St NW"/>
        <s v="Edgewood 611/Edgewood Gardens"/>
        <s v="4915 Quarles Street NE"/>
        <s v="3411 Georgia Avenue NW"/>
        <s v="2121 Ward Place NW"/>
        <s v="Wardman Park Building B"/>
        <s v="Wardman Park Building A"/>
        <s v="1821 Gainesville Residences"/>
        <s v="Monroe Street Market - Everton (Block E)"/>
        <s v="1124-1126 Florida Avenue NE"/>
        <s v="801 17th Street NE - Modera H Street"/>
        <s v="2026 Jackson Street NE - New Macedonia Baptist Church"/>
        <s v="Tunlaw Apartments"/>
        <s v="Capitol Rose"/>
        <s v="2215 Minnesota Ave SE"/>
        <s v="Howard Manor Renovation"/>
        <s v="Residences at Penn Branch (Shops at Penn Branch Multifamily)"/>
        <s v="Gales Street HIP"/>
        <s v="Washington View Apartments"/>
        <s v="Brookland Lanes"/>
      </sharedItems>
    </cacheField>
    <cacheField name="STATUS_PUBLIC" numFmtId="0">
      <sharedItems>
        <s v="Completed 2015 to Date"/>
        <s v="Pipeline"/>
      </sharedItems>
    </cacheField>
    <cacheField name="AGENCY_CALCULATED" numFmtId="0">
      <sharedItems containsBlank="1">
        <s v="DHCD"/>
        <s v="DHCD OP"/>
        <s v="DMPED DHCD"/>
        <s v="DMPED DHCD OP"/>
        <s v="DCHFA DHCD"/>
        <s v="DCHFA DHCD OP"/>
        <s v="DMPED DCHFA DHCD OP"/>
        <s v="DCHA"/>
        <s v="DMPED DCHA DCHFA DHCD"/>
        <s v="DMPED OP"/>
        <s v="DCHA DCHFA DHCD"/>
        <s v="DMPED DCHFA DHCD"/>
        <s v="OP"/>
        <s v="DCHA DHCD"/>
        <s v="DHCD Amazon Housing Equity Fund"/>
        <s v="DMPED"/>
        <s v="DCHA DCHFA DHCD OP"/>
        <s v="DCHFA DHCD Amazon Housing Equity Fund"/>
        <m/>
        <s v="Amazon Housing Equity Fund"/>
        <s v="Amazon Housing Equity Fund ; Washington Housing Initiative"/>
        <s v="DCHFA Amazon Housing Equity Fund"/>
        <s v="DCHFA"/>
      </sharedItems>
    </cacheField>
    <cacheField name="TOTAL_AFFORDABLE_UNITS" numFmtId="0">
      <sharedItems containsSemiMixedTypes="0" containsString="0" containsNumber="1" containsInteger="1">
        <n v="14.0"/>
        <n v="32.0"/>
        <n v="10.0"/>
        <n v="80.0"/>
        <n v="71.0"/>
        <n v="12.0"/>
        <n v="104.0"/>
        <n v="61.0"/>
        <n v="38.0"/>
        <n v="51.0"/>
        <n v="28.0"/>
        <n v="45.0"/>
        <n v="136.0"/>
        <n v="53.0"/>
        <n v="1.0"/>
        <n v="2.0"/>
        <n v="37.0"/>
        <n v="86.0"/>
        <n v="23.0"/>
        <n v="93.0"/>
        <n v="49.0"/>
        <n v="30.0"/>
        <n v="17.0"/>
        <n v="31.0"/>
        <n v="52.0"/>
        <n v="59.0"/>
        <n v="13.0"/>
        <n v="15.0"/>
        <n v="24.0"/>
        <n v="108.0"/>
        <n v="179.0"/>
        <n v="100.0"/>
        <n v="150.0"/>
        <n v="142.0"/>
        <n v="98.0"/>
        <n v="202.0"/>
        <n v="132.0"/>
        <n v="195.0"/>
        <n v="18.0"/>
        <n v="58.0"/>
        <n v="72.0"/>
        <n v="7.0"/>
        <n v="5.0"/>
        <n v="11.0"/>
        <n v="3.0"/>
        <n v="4.0"/>
        <n v="8.0"/>
        <n v="121.0"/>
        <n v="9.0"/>
        <n v="101.0"/>
        <n v="29.0"/>
        <n v="75.0"/>
        <n v="42.0"/>
        <n v="62.0"/>
        <n v="46.0"/>
        <n v="63.0"/>
        <n v="95.0"/>
        <n v="84.0"/>
        <n v="47.0"/>
        <n v="20.0"/>
        <n v="152.0"/>
        <n v="40.0"/>
        <n v="166.0"/>
        <n v="92.0"/>
        <n v="41.0"/>
        <n v="112.0"/>
        <n v="65.0"/>
        <n v="54.0"/>
        <n v="157.0"/>
        <n v="19.0"/>
        <n v="26.0"/>
        <n v="27.0"/>
        <n v="43.0"/>
        <n v="336.0"/>
        <n v="190.0"/>
        <n v="395.0"/>
        <n v="125.0"/>
        <n v="0.0"/>
        <n v="81.0"/>
        <n v="25.0"/>
        <n v="118.0"/>
        <n v="123.0"/>
        <n v="64.0"/>
        <n v="169.0"/>
        <n v="148.0"/>
        <n v="130.0"/>
        <n v="394.0"/>
        <n v="6.0"/>
        <n v="156.0"/>
        <n v="76.0"/>
        <n v="55.0"/>
        <n v="212.0"/>
        <n v="36.0"/>
        <n v="67.0"/>
        <n v="70.0"/>
        <n v="124.0"/>
        <n v="77.0"/>
        <n v="96.0"/>
        <n v="120.0"/>
        <n v="21.0"/>
        <n v="16.0"/>
        <n v="34.0"/>
        <n v="78.0"/>
        <n v="350.0"/>
        <n v="35.0"/>
        <n v="165.0"/>
        <n v="159.0"/>
        <n v="145.0"/>
        <n v="300.0"/>
        <n v="170.0"/>
        <n v="353.0"/>
      </sharedItems>
    </cacheField>
    <cacheField name="LATITUDE" numFmtId="0">
      <sharedItems containsSemiMixedTypes="0" containsString="0" containsNumber="1">
        <n v="38.86884466"/>
        <n v="38.90003522"/>
        <n v="38.85981208"/>
        <n v="38.95578329"/>
        <n v="38.92709548"/>
        <n v="38.90140877"/>
        <n v="38.95556043"/>
        <n v="38.90063043"/>
        <n v="38.92773479"/>
        <n v="38.95657102"/>
        <n v="38.95761351"/>
        <n v="38.88812445"/>
        <n v="38.93630084"/>
        <n v="38.87838266"/>
        <n v="38.87374198"/>
        <n v="38.9581452"/>
        <n v="38.89819568"/>
        <n v="38.92633427"/>
        <n v="38.91051495"/>
        <n v="38.8980752"/>
        <n v="38.91195414"/>
        <n v="38.89678568"/>
        <n v="38.89564429"/>
        <n v="38.94357291"/>
        <n v="38.90908137"/>
        <n v="38.87075711"/>
        <n v="38.90596304"/>
        <n v="38.90729692"/>
        <n v="38.89981467"/>
        <n v="38.90705466"/>
        <n v="38.90899572"/>
        <n v="38.9117518"/>
        <n v="38.87977225"/>
        <n v="38.90579764"/>
        <n v="38.83149748"/>
        <n v="38.90824528"/>
        <n v="38.86098471"/>
        <n v="38.90519022"/>
        <n v="38.90068876"/>
        <n v="38.88574152"/>
        <n v="38.90353787"/>
        <n v="38.91287832"/>
        <n v="38.93276032"/>
        <n v="38.88011362"/>
        <n v="38.84627882"/>
        <n v="38.9195432"/>
        <n v="38.83092483"/>
        <n v="38.9102476"/>
        <n v="38.89072015"/>
        <n v="38.9343927"/>
        <n v="38.88340901"/>
        <n v="38.91629231"/>
        <n v="38.85695835"/>
        <n v="38.8641336"/>
        <n v="38.88254814"/>
        <n v="38.96630879"/>
        <n v="38.88220815"/>
        <n v="38.91720634"/>
        <n v="38.90319796"/>
        <n v="38.87590641"/>
        <n v="38.94272522"/>
        <n v="38.9427206"/>
        <n v="38.88197583"/>
        <n v="38.91966539"/>
        <n v="38.94869798"/>
        <n v="38.982809"/>
        <n v="38.95921612"/>
        <n v="38.86587556"/>
        <n v="38.88400505"/>
        <n v="38.83983824"/>
        <n v="38.85575584"/>
        <n v="38.90948389"/>
        <n v="38.87122617"/>
        <n v="38.86661744"/>
        <n v="38.90951424"/>
        <n v="38.8742064"/>
        <n v="38.91240498"/>
        <n v="38.8830719"/>
        <n v="38.97272325"/>
        <n v="38.87726084"/>
        <n v="38.90325639"/>
        <n v="38.91891171"/>
        <n v="38.9019718"/>
        <n v="38.92967908"/>
        <n v="38.90859167"/>
        <n v="38.90418775"/>
        <n v="38.89011013"/>
        <n v="38.88436039"/>
        <n v="38.93842345"/>
        <n v="38.91236859"/>
        <n v="38.91048251"/>
        <n v="38.95531924"/>
        <n v="38.93774073"/>
        <n v="38.93773446"/>
        <n v="38.91581753"/>
        <n v="38.86254606"/>
        <n v="38.9346029"/>
        <n v="38.9293249"/>
        <n v="38.91527244"/>
        <n v="38.95655022"/>
        <n v="38.92470386"/>
        <n v="38.91898801"/>
        <n v="38.82216136"/>
        <n v="38.94116032"/>
        <n v="38.95799458"/>
        <n v="38.92384118"/>
        <n v="38.95646254"/>
        <n v="38.92751398"/>
        <n v="38.91037803"/>
        <n v="38.90745038"/>
        <n v="38.86449418"/>
        <n v="38.87018429"/>
        <n v="38.92670475"/>
        <n v="38.92059325"/>
        <n v="38.91277734"/>
        <n v="38.90043269"/>
        <n v="38.92027819"/>
        <n v="38.97374251"/>
        <n v="38.86563863"/>
        <n v="38.83183787"/>
        <n v="38.86181035"/>
        <n v="38.84310607"/>
        <n v="38.92581445"/>
        <n v="38.91310723"/>
        <n v="38.95708325"/>
        <n v="38.93767069"/>
        <n v="38.97400214"/>
        <n v="38.93621104"/>
        <n v="38.93628732"/>
        <n v="38.93598615"/>
        <n v="38.90779822"/>
        <n v="38.91279107"/>
        <n v="38.8819436"/>
        <n v="38.92373804"/>
        <n v="38.92963006"/>
        <n v="38.92085249"/>
        <n v="38.91835421"/>
        <n v="38.90192954"/>
        <n v="38.95611235"/>
        <n v="38.89937522"/>
        <n v="38.90978907"/>
        <n v="38.93089459"/>
        <n v="38.94382501"/>
        <n v="38.90130746"/>
        <n v="38.93288638"/>
        <n v="38.93490133"/>
        <n v="38.94030092"/>
        <n v="38.86830817"/>
        <n v="38.90170764"/>
        <n v="38.92430306"/>
        <n v="38.92024405"/>
        <n v="38.91890437"/>
        <n v="38.8745645"/>
        <n v="38.8680031"/>
        <n v="38.97656593"/>
        <n v="38.89396726"/>
        <n v="38.87824153"/>
        <n v="38.90477812"/>
        <n v="38.87275917"/>
        <n v="38.82735337"/>
        <n v="38.89851478"/>
        <n v="38.9341376"/>
        <n v="38.90790398"/>
        <n v="38.95681836"/>
        <n v="38.9344704"/>
        <n v="38.85423183"/>
        <n v="38.85990658"/>
        <n v="38.90964506"/>
        <n v="38.84930544"/>
        <n v="38.85494866"/>
        <n v="38.92203077"/>
        <n v="38.95749235"/>
        <n v="38.90296439"/>
        <n v="38.90989337"/>
        <n v="38.85545161"/>
        <n v="38.92422323"/>
        <n v="38.866129"/>
        <n v="38.92442147"/>
        <n v="38.91004398"/>
        <n v="38.86321324"/>
        <n v="38.95560697"/>
        <n v="38.92152844"/>
        <n v="38.8723248"/>
        <n v="38.95659596"/>
        <n v="38.90741873"/>
        <n v="38.90308138"/>
        <n v="38.93113494"/>
        <n v="38.8973889"/>
        <n v="38.85892548"/>
        <n v="38.92432228"/>
        <n v="38.91235692"/>
        <n v="38.90451043"/>
        <n v="38.93334742"/>
        <n v="38.88082317"/>
        <n v="38.95663941"/>
        <n v="38.95058921"/>
        <n v="38.90574028"/>
        <n v="38.89857758"/>
        <n v="38.86189951"/>
        <n v="38.87899085"/>
        <n v="38.90076337"/>
        <n v="38.85198087"/>
        <n v="38.97529273"/>
        <n v="38.86609237"/>
        <n v="38.87386007"/>
        <n v="38.86675369"/>
        <n v="38.87280055"/>
        <n v="38.88779838"/>
        <n v="38.95673345"/>
        <n v="38.91988565"/>
        <n v="38.86634493"/>
        <n v="38.95656524"/>
        <n v="38.87158057"/>
        <n v="38.84474474"/>
        <n v="38.88612337"/>
        <n v="38.96084147"/>
        <n v="38.90802846"/>
        <n v="38.93583971"/>
        <n v="38.95640595"/>
        <n v="38.9259464"/>
        <n v="38.91334597"/>
        <n v="38.93755881"/>
        <n v="38.98049228"/>
        <n v="38.94491549"/>
        <n v="38.86399461"/>
        <n v="38.8444869"/>
        <n v="38.87901567"/>
        <n v="38.9224089"/>
        <n v="38.92769458"/>
        <n v="38.93102074"/>
        <n v="38.82794395"/>
        <n v="38.89948835"/>
        <n v="38.90954359"/>
        <n v="38.9565894"/>
        <n v="38.8612395"/>
        <n v="38.9444879"/>
        <n v="38.92432062"/>
        <n v="38.90741939"/>
        <n v="38.90741987"/>
        <n v="38.93800263"/>
        <n v="38.94025829"/>
        <n v="38.89563221"/>
        <n v="38.9500397"/>
        <n v="38.9037804"/>
        <n v="38.91051517"/>
        <n v="38.93035285"/>
        <n v="38.9013248"/>
        <n v="38.95608977"/>
        <n v="38.90710496"/>
        <n v="38.92621339"/>
        <n v="38.84844497"/>
        <n v="38.82456753"/>
        <n v="38.97689497"/>
        <n v="38.97602035"/>
        <n v="38.87314229"/>
        <n v="38.91588366"/>
        <n v="38.91743283"/>
        <n v="38.93956736"/>
        <n v="38.909021"/>
        <n v="38.92007338"/>
        <n v="38.920145"/>
        <n v="38.93370459"/>
        <n v="38.92280358"/>
        <n v="38.97418661"/>
        <n v="38.91681425"/>
        <n v="38.90846296"/>
        <n v="38.89166925"/>
        <n v="38.91743692"/>
        <n v="38.92361281"/>
        <n v="38.97275626"/>
        <n v="38.89427946"/>
        <n v="38.85586545"/>
        <n v="38.90308352"/>
        <n v="38.8993459"/>
        <n v="38.95666512"/>
        <n v="38.90229037"/>
        <n v="38.95634773"/>
        <n v="38.89899026"/>
        <n v="38.94058377"/>
        <n v="38.94170237"/>
        <n v="38.93447055"/>
        <n v="38.94265626"/>
        <n v="38.89911748"/>
        <n v="38.87018191"/>
        <n v="38.90401555"/>
        <n v="38.93034879"/>
        <n v="38.90326591"/>
        <n v="38.92260821"/>
        <n v="38.93594607"/>
        <n v="38.96276557"/>
        <n v="38.95971848"/>
        <n v="38.95972972"/>
        <n v="38.95617411"/>
        <n v="38.90792947"/>
        <n v="38.90958091"/>
        <n v="38.87357416"/>
        <n v="38.90291892"/>
        <n v="38.9399293"/>
        <n v="38.93931671"/>
        <n v="38.89440761"/>
        <n v="38.97208408"/>
        <n v="38.90576994"/>
        <n v="38.93063151"/>
        <n v="38.90750811"/>
        <n v="38.92511516"/>
        <n v="38.87348298"/>
        <n v="38.9053962"/>
        <n v="38.90974827"/>
        <n v="38.94093514"/>
        <n v="38.94093821"/>
        <n v="38.92264063"/>
        <n v="38.92161256"/>
        <n v="38.95999251"/>
        <n v="38.86395333"/>
        <n v="38.87162088"/>
        <n v="38.91779315"/>
        <n v="38.85698606"/>
        <n v="38.87887356"/>
        <n v="38.92847668"/>
        <n v="38.97722724"/>
        <n v="38.91309286"/>
        <n v="38.91148336"/>
        <n v="38.92434052"/>
        <n v="38.93303967"/>
        <n v="38.88896639"/>
        <n v="38.93267978"/>
        <n v="38.91645047"/>
        <n v="38.93256829"/>
        <n v="38.92545865"/>
        <n v="38.8548883"/>
        <n v="38.96073904"/>
        <n v="38.90042717"/>
        <n v="38.95424443"/>
        <n v="38.86218973"/>
        <n v="38.91950208"/>
        <n v="38.89999914"/>
        <n v="38.90540668"/>
        <n v="38.87178699"/>
        <n v="38.96196588"/>
        <n v="38.90018362"/>
        <n v="38.8507151"/>
        <n v="38.85534472"/>
        <n v="38.95607612"/>
        <n v="38.94305442"/>
        <n v="38.87147307"/>
        <n v="38.9339802"/>
        <n v="38.90808171"/>
        <n v="38.90043785"/>
        <n v="38.91297268"/>
        <n v="38.92999943"/>
        <n v="38.90042716"/>
        <n v="38.92750719"/>
        <n v="38.90805593"/>
        <n v="38.84705477"/>
        <n v="38.87103353"/>
        <n v="38.90038241"/>
        <n v="38.90028358"/>
        <n v="38.93505319"/>
        <n v="38.91040529"/>
        <n v="38.92425536"/>
        <n v="38.92944575"/>
        <n v="38.870893"/>
        <n v="38.97375842"/>
        <n v="38.88512824"/>
        <n v="38.87427627"/>
        <n v="38.86480153"/>
        <n v="38.86547683"/>
        <n v="38.86497389"/>
        <n v="38.92645034"/>
        <n v="38.97572042"/>
        <n v="38.89230101"/>
        <n v="38.92057943"/>
        <n v="38.87772286"/>
        <n v="38.90261781"/>
        <n v="38.91282263"/>
        <n v="38.90543491"/>
        <n v="38.88552654"/>
        <n v="38.95606433"/>
        <n v="38.87822077"/>
        <n v="38.89932722"/>
        <n v="38.85706759"/>
        <n v="38.8557062"/>
        <n v="38.92396818"/>
        <n v="38.8801137"/>
        <n v="38.86512933"/>
        <n v="38.93104877"/>
        <n v="38.85373222"/>
        <n v="38.96041746"/>
        <n v="38.93307367"/>
        <n v="38.95653566"/>
        <n v="38.95665558"/>
        <n v="38.90836396"/>
        <n v="38.90224462"/>
        <n v="38.93852677"/>
        <n v="38.91090155"/>
        <n v="38.91912258"/>
        <n v="38.95675763"/>
        <n v="38.93160868"/>
        <n v="38.85823345"/>
        <n v="38.89548555"/>
        <n v="38.92393485"/>
        <n v="38.87020265"/>
        <n v="38.90283954"/>
        <n v="38.8809368"/>
        <n v="38.9010405"/>
        <n v="38.92968407"/>
        <n v="38.89917977"/>
        <n v="38.92344629"/>
        <n v="38.92997103"/>
        <n v="38.9028027"/>
        <n v="38.90417019"/>
        <n v="38.9015298"/>
        <n v="38.93830517"/>
        <n v="38.90194979"/>
        <n v="38.90395982"/>
        <n v="38.92311471"/>
        <n v="38.90831543"/>
        <n v="38.93243031"/>
        <n v="38.90640071"/>
        <n v="38.92352105"/>
        <n v="38.92546215"/>
        <n v="38.854891"/>
        <n v="38.93212948"/>
        <n v="38.90315678"/>
        <n v="38.90076347"/>
        <n v="38.93035835"/>
        <n v="38.92442579"/>
        <n v="38.91377141"/>
        <n v="38.87153168"/>
        <n v="38.92557468"/>
        <n v="38.87023454"/>
        <n v="38.89805186"/>
        <n v="38.85831416"/>
        <n v="38.93614475"/>
      </sharedItems>
    </cacheField>
    <cacheField name="LONGITUDE" numFmtId="0">
      <sharedItems containsSemiMixedTypes="0" containsString="0" containsNumber="1">
        <n v="-76.96698004"/>
        <n v="-76.99372728"/>
        <n v="-76.98386904"/>
        <n v="-77.01137754"/>
        <n v="-76.99750816"/>
        <n v="-77.01478059"/>
        <n v="-77.02006154"/>
        <n v="-77.01342631"/>
        <n v="-76.97964056"/>
        <n v="-77.02468645"/>
        <n v="-77.0267653"/>
        <n v="-76.93260276"/>
        <n v="-77.02868418"/>
        <n v="-77.01708548"/>
        <n v="-77.00246186"/>
        <n v="-77.02930077"/>
        <n v="-76.97397"/>
        <n v="-77.02310884"/>
        <n v="-76.99725715"/>
        <n v="-76.92621694"/>
        <n v="-77.00158055"/>
        <n v="-76.92960925"/>
        <n v="-76.95605929"/>
        <n v="-76.98938066"/>
        <n v="-77.00257457"/>
        <n v="-77.00732086"/>
        <n v="-77.00237328"/>
        <n v="-76.99805776"/>
        <n v="-76.97888409"/>
        <n v="-77.00156269"/>
        <n v="-77.00088778"/>
        <n v="-77.00265942"/>
        <n v="-76.98498302"/>
        <n v="-77.00160854"/>
        <n v="-77.0064155"/>
        <n v="-77.02318714"/>
        <n v="-76.9972003"/>
        <n v="-77.00829145"/>
        <n v="-76.98344028"/>
        <n v="-76.97649306"/>
        <n v="-77.00990033"/>
        <n v="-77.02151538"/>
        <n v="-77.0219841"/>
        <n v="-77.01142921"/>
        <n v="-76.99172346"/>
        <n v="-77.02482642"/>
        <n v="-77.00802392"/>
        <n v="-77.00938115"/>
        <n v="-76.98308792"/>
        <n v="-77.02375008"/>
        <n v="-77.01941553"/>
        <n v="-77.02536643"/>
        <n v="-76.97105784"/>
        <n v="-77.01247507"/>
        <n v="-76.98765909"/>
        <n v="-77.02688672"/>
        <n v="-76.98941157"/>
        <n v="-77.02268016"/>
        <n v="-76.98111597"/>
        <n v="-77.00854838"/>
        <n v="-77.02465236"/>
        <n v="-77.02473529"/>
        <n v="-76.92890146"/>
        <n v="-77.03166457"/>
        <n v="-77.02735548"/>
        <n v="-77.02680973"/>
        <n v="-77.07192532"/>
        <n v="-76.98147752"/>
        <n v="-76.95458126"/>
        <n v="-76.99816257"/>
        <n v="-76.98658236"/>
        <n v="-76.99913977"/>
        <n v="-77.01179193"/>
        <n v="-77.00992943"/>
        <n v="-77.00067518"/>
        <n v="-77.00428809"/>
        <n v="-77.00936633"/>
        <n v="-76.98617856"/>
        <n v="-77.027552"/>
        <n v="-77.02163095"/>
        <n v="-76.98161031"/>
        <n v="-77.01525965"/>
        <n v="-76.97986857"/>
        <n v="-76.99470728"/>
        <n v="-77.00286245"/>
        <n v="-76.92430916"/>
        <n v="-76.95362678"/>
        <n v="-76.9558771"/>
        <n v="-77.025935"/>
        <n v="-77.03115054"/>
        <n v="-77.0093542"/>
        <n v="-77.02820219"/>
        <n v="-77.03396089"/>
        <n v="-77.03360574"/>
        <n v="-77.03974834"/>
        <n v="-76.9916983"/>
        <n v="-77.03476653"/>
        <n v="-76.97497111"/>
        <n v="-77.02065903"/>
        <n v="-77.02318659"/>
        <n v="-76.98757614"/>
        <n v="-77.03248068"/>
        <n v="-77.00165767"/>
        <n v="-77.02606714"/>
        <n v="-77.00133501"/>
        <n v="-77.00088082"/>
        <n v="-77.02683282"/>
        <n v="-77.02275494"/>
        <n v="-76.93642717"/>
        <n v="-77.02323254"/>
        <n v="-77.011821"/>
        <n v="-76.96982235"/>
        <n v="-76.99080271"/>
        <n v="-77.04047991"/>
        <n v="-77.03169979"/>
        <n v="-76.99291461"/>
        <n v="-77.03401565"/>
        <n v="-77.01605612"/>
        <n v="-76.98318236"/>
        <n v="-77.00703263"/>
        <n v="-76.99324994"/>
        <n v="-76.98815455"/>
        <n v="-77.03731712"/>
        <n v="-77.00872406"/>
        <n v="-77.02841495"/>
        <n v="-77.03562963"/>
        <n v="-77.03081836"/>
        <n v="-77.02749394"/>
        <n v="-77.03241013"/>
        <n v="-76.99071016"/>
        <n v="-77.02675525"/>
        <n v="-76.93584528"/>
        <n v="-77.01717785"/>
        <n v="-76.99353537"/>
        <n v="-77.02305063"/>
        <n v="-77.03267722"/>
        <n v="-77.02545504"/>
        <n v="-76.98963507"/>
        <n v="-77.02480813"/>
        <n v="-76.97735445"/>
        <n v="-76.98551584"/>
        <n v="-77.02825539"/>
        <n v="-77.02629271"/>
        <n v="-76.98300079"/>
        <n v="-76.97917556"/>
        <n v="-76.99256794"/>
        <n v="-77.02541304"/>
        <n v="-76.96803096"/>
        <n v="-76.97733042"/>
        <n v="-76.9848807"/>
        <n v="-76.99999931"/>
        <n v="-77.02364229"/>
        <n v="-76.97040004"/>
        <n v="-77.01036934"/>
        <n v="-77.02813247"/>
        <n v="-76.99528767"/>
        <n v="-76.98713834"/>
        <n v="-76.98063687"/>
        <n v="-76.97663885"/>
        <n v="-76.99461836"/>
        <n v="-76.97676391"/>
        <n v="-76.99091316"/>
        <n v="-77.02675587"/>
        <n v="-77.0225745"/>
        <n v="-77.02067358"/>
        <n v="-76.98765972"/>
        <n v="-76.9883921"/>
        <n v="-76.9851084"/>
        <n v="-76.97350779"/>
        <n v="-76.99128143"/>
        <n v="-76.99220165"/>
        <n v="-77.0304539"/>
        <n v="-76.97923433"/>
        <n v="-77.00938006"/>
        <n v="-76.98640983"/>
        <n v="-77.00017656"/>
        <n v="-76.98303683"/>
        <n v="-77.03189836"/>
        <n v="-77.00856688"/>
        <n v="-76.99195966"/>
        <n v="-77.02026761"/>
        <n v="-76.99690098"/>
        <n v="-76.97672323"/>
        <n v="-77.0214327"/>
        <n v="-76.93061415"/>
        <n v="-76.9343479"/>
        <n v="-77.02781745"/>
        <n v="-76.91617834"/>
        <n v="-76.96505811"/>
        <n v="-77.03439376"/>
        <n v="-77.03299387"/>
        <n v="-77.01169217"/>
        <n v="-77.02995491"/>
        <n v="-76.98754126"/>
        <n v="-77.02020144"/>
        <n v="-77.08007964"/>
        <n v="-76.97994878"/>
        <n v="-76.97593445"/>
        <n v="-76.99068051"/>
        <n v="-77.01826623"/>
        <n v="-77.01260287"/>
        <n v="-76.96472211"/>
        <n v="-77.0159428"/>
        <n v="-76.9824388"/>
        <n v="-76.97400815"/>
        <n v="-76.98101315"/>
        <n v="-76.97622041"/>
        <n v="-76.98383378"/>
        <n v="-77.01683971"/>
        <n v="-77.02733243"/>
        <n v="-76.98181202"/>
        <n v="-77.00151785"/>
        <n v="-76.97397129"/>
        <n v="-76.99731278"/>
        <n v="-76.98339721"/>
        <n v="-77.02829518"/>
        <n v="-77.0116411"/>
        <n v="-76.99074605"/>
        <n v="-77.01132468"/>
        <n v="-77.02342459"/>
        <n v="-77.01551985"/>
        <n v="-77.03379586"/>
        <n v="-77.02678001"/>
        <n v="-77.00572989"/>
        <n v="-76.98090293"/>
        <n v="-76.99106223"/>
        <n v="-77.01122366"/>
        <n v="-76.99160761"/>
        <n v="-76.99982828"/>
        <n v="-77.02587671"/>
        <n v="-76.99675843"/>
        <n v="-76.98130625"/>
        <n v="-77.00945461"/>
        <n v="-77.02178424"/>
        <n v="-76.96788618"/>
        <n v="-77.02643588"/>
        <n v="-77.0228817"/>
        <n v="-76.93081695"/>
        <n v="-76.93102218"/>
        <n v="-77.01802852"/>
        <n v="-77.0253775"/>
        <n v="-76.98805383"/>
        <n v="-77.02685659"/>
        <n v="-76.99198852"/>
        <n v="-77.00780182"/>
        <n v="-76.99119436"/>
        <n v="-76.98609467"/>
        <n v="-77.02508905"/>
        <n v="-76.99966542"/>
        <n v="-77.03196628"/>
        <n v="-76.97157104"/>
        <n v="-77.00110922"/>
        <n v="-77.02790583"/>
        <n v="-77.027561"/>
        <n v="-76.9732854"/>
        <n v="-77.0204897"/>
        <n v="-77.0959333"/>
        <n v="-77.03302999"/>
        <n v="-76.99707493"/>
        <n v="-77.0278347"/>
        <n v="-77.02785191"/>
        <n v="-76.99149175"/>
        <n v="-76.99206295"/>
        <n v="-77.01608957"/>
        <n v="-77.0245357"/>
        <n v="-77.03731416"/>
        <n v="-76.93747607"/>
        <n v="-77.02666731"/>
        <n v="-76.96630635"/>
        <n v="-77.03265498"/>
        <n v="-76.91589773"/>
        <n v="-76.9696307"/>
        <n v="-76.93464004"/>
        <n v="-76.92927725"/>
        <n v="-77.01895634"/>
        <n v="-76.97492007"/>
        <n v="-77.0108596"/>
        <n v="-76.92778899"/>
        <n v="-77.0783924"/>
        <n v="-77.07725109"/>
        <n v="-77.05821888"/>
        <n v="-77.06225062"/>
        <n v="-76.98149621"/>
        <n v="-77.01182967"/>
        <n v="-76.99248954"/>
        <n v="-76.97282456"/>
        <n v="-76.97985391"/>
        <n v="-76.99103929"/>
        <n v="-77.02768484"/>
        <n v="-77.08244091"/>
        <n v="-77.08576744"/>
        <n v="-77.08455148"/>
        <n v="-77.02372803"/>
        <n v="-77.00087624"/>
        <n v="-76.99987755"/>
        <n v="-76.9691546"/>
        <n v="-77.01041165"/>
        <n v="-77.07773812"/>
        <n v="-77.03246468"/>
        <n v="-76.91824315"/>
        <n v="-77.03377381"/>
        <n v="-77.06387793"/>
        <n v="-76.97236958"/>
        <n v="-77.02665472"/>
        <n v="-77.02225829"/>
        <n v="-77.00959077"/>
        <n v="-76.97195347"/>
        <n v="-76.98555943"/>
        <n v="-76.99353416"/>
        <n v="-76.99371134"/>
        <n v="-76.99088845"/>
        <n v="-77.03982572"/>
        <n v="-77.0293591"/>
        <n v="-76.97092526"/>
        <n v="-76.97766702"/>
        <n v="-77.00024504"/>
        <n v="-76.99547895"/>
        <n v="-77.00861892"/>
        <n v="-76.97895357"/>
        <n v="-77.0178404"/>
        <n v="-77.00677475"/>
        <n v="-77.03696234"/>
        <n v="-77.03574176"/>
        <n v="-77.03909972"/>
        <n v="-76.9852379"/>
        <n v="-76.99120584"/>
        <n v="-77.04875729"/>
        <n v="-77.0729376"/>
        <n v="-76.95562644"/>
        <n v="-76.97065613"/>
        <n v="-77.02868905"/>
        <n v="-76.99248945"/>
        <n v="-77.02750263"/>
        <n v="-76.99277945"/>
        <n v="-77.04298171"/>
        <n v="-77.00160334"/>
        <n v="-76.97471975"/>
        <n v="-76.96964064"/>
        <n v="-77.08320993"/>
        <n v="-76.94860303"/>
        <n v="-76.98593276"/>
        <n v="-76.9675757"/>
        <n v="-77.02771735"/>
        <n v="-77.01456083"/>
        <n v="-76.97425458"/>
        <n v="-77.03243988"/>
        <n v="-77.08363338"/>
        <n v="-76.92128143"/>
        <n v="-77.02319191"/>
        <n v="-76.9753156"/>
        <n v="-76.98571372"/>
        <n v="-76.98005488"/>
        <n v="-77.02449925"/>
        <n v="-76.99638709"/>
        <n v="-76.97762076"/>
        <n v="-76.9965919"/>
        <n v="-77.0553495"/>
        <n v="-77.02389135"/>
        <n v="-77.00744657"/>
        <n v="-76.96587717"/>
        <n v="-77.02352849"/>
        <n v="-77.011839"/>
        <n v="-77.01344159"/>
        <n v="-76.97658974"/>
        <n v="-77.00497308"/>
        <n v="-77.01289933"/>
        <n v="-77.01345369"/>
        <n v="-77.01256567"/>
        <n v="-76.98100418"/>
        <n v="-77.02698583"/>
        <n v="-76.94027749"/>
        <n v="-77.03973623"/>
        <n v="-76.98773818"/>
        <n v="-76.93986674"/>
        <n v="-77.03817406"/>
        <n v="-76.97259136"/>
        <n v="-77.02777362"/>
        <n v="-77.02662892"/>
        <n v="-76.98787247"/>
        <n v="-76.9805497"/>
        <n v="-76.98393349"/>
        <n v="-76.97261783"/>
        <n v="-77.03187302"/>
        <n v="-76.99523799"/>
        <n v="-77.00074655"/>
        <n v="-77.02687538"/>
        <n v="-76.97031951"/>
        <n v="-77.00982204"/>
        <n v="-77.0305941"/>
        <n v="-77.02210023"/>
        <n v="-77.0201065"/>
        <n v="-77.02677979"/>
        <n v="-76.99586736"/>
        <n v="-77.02442356"/>
        <n v="-77.0042059"/>
        <n v="-77.02212519"/>
        <n v="-77.01125644"/>
        <n v="-77.01903549"/>
        <n v="-76.99539211"/>
        <n v="-76.98803265"/>
        <n v="-77.0343411"/>
        <n v="-76.97521655"/>
        <n v="-76.97597406"/>
        <n v="-76.98782994"/>
        <n v="-76.97696991"/>
        <n v="-77.03690719"/>
        <n v="-76.94993063"/>
        <n v="-77.0256936"/>
        <n v="-77.03151311"/>
        <n v="-77.00243819"/>
        <n v="-76.98103755"/>
        <n v="-76.97548696"/>
        <n v="-77.03245304"/>
        <n v="-77.00260233"/>
        <n v="-77.02843252"/>
        <n v="-76.99787686"/>
        <n v="-76.92988104"/>
        <n v="-77.02343883"/>
        <n v="-77.04756775"/>
        <n v="-77.0555961"/>
        <n v="-77.05428131"/>
        <n v="-76.97803182"/>
        <n v="-76.99586897"/>
        <n v="-76.99070475"/>
        <n v="-76.97812952"/>
        <n v="-76.97448244"/>
        <n v="-77.07596511"/>
        <n v="-77.03494651"/>
        <n v="-76.97405636"/>
        <n v="-77.02234608"/>
        <n v="-76.95988145"/>
        <n v="-76.98015118"/>
        <n v="-76.98965765"/>
        <n v="-76.99372491"/>
      </sharedItems>
    </cacheField>
    <cacheField name="AFFORDABLE_UNITS_AT_0_30_AMI" numFmtId="0">
      <sharedItems containsSemiMixedTypes="0" containsString="0" containsNumber="1" containsInteger="1">
        <n v="0.0"/>
        <n v="4.0"/>
        <n v="15.0"/>
        <n v="14.0"/>
        <n v="5.0"/>
        <n v="21.0"/>
        <n v="13.0"/>
        <n v="3.0"/>
        <n v="6.0"/>
        <n v="68.0"/>
        <n v="28.0"/>
        <n v="35.0"/>
        <n v="7.0"/>
        <n v="33.0"/>
        <n v="43.0"/>
        <n v="179.0"/>
        <n v="100.0"/>
        <n v="77.0"/>
        <n v="9.0"/>
        <n v="31.0"/>
        <n v="19.0"/>
        <n v="78.0"/>
        <n v="2.0"/>
        <n v="18.0"/>
        <n v="20.0"/>
        <n v="36.0"/>
        <n v="47.0"/>
        <n v="40.0"/>
        <n v="26.0"/>
        <n v="54.0"/>
        <n v="16.0"/>
        <n v="10.0"/>
        <n v="12.0"/>
        <n v="52.0"/>
        <n v="34.0"/>
        <n v="83.0"/>
        <n v="24.0"/>
        <n v="8.0"/>
        <n v="30.0"/>
        <n v="39.0"/>
        <n v="1.0"/>
      </sharedItems>
    </cacheField>
    <cacheField name="AFFORDABLE_UNITS_AT_31_50_AMI" numFmtId="0">
      <sharedItems containsSemiMixedTypes="0" containsString="0" containsNumber="1" containsInteger="1">
        <n v="5.0"/>
        <n v="0.0"/>
        <n v="2.0"/>
        <n v="4.0"/>
        <n v="53.0"/>
        <n v="83.0"/>
        <n v="48.0"/>
        <n v="35.0"/>
        <n v="33.0"/>
        <n v="10.0"/>
        <n v="17.0"/>
        <n v="68.0"/>
        <n v="1.0"/>
        <n v="12.0"/>
        <n v="11.0"/>
        <n v="20.0"/>
        <n v="6.0"/>
        <n v="28.0"/>
        <n v="14.0"/>
        <n v="26.0"/>
        <n v="29.0"/>
        <n v="9.0"/>
        <n v="44.0"/>
        <n v="41.0"/>
        <n v="24.0"/>
        <n v="183.0"/>
        <n v="99.0"/>
        <n v="78.0"/>
        <n v="54.0"/>
        <n v="127.0"/>
        <n v="108.0"/>
        <n v="80.0"/>
        <n v="15.0"/>
        <n v="75.0"/>
        <n v="3.0"/>
        <n v="50.0"/>
        <n v="90.0"/>
        <n v="126.0"/>
        <n v="32.0"/>
        <n v="106.0"/>
        <n v="51.0"/>
        <n v="49.0"/>
        <n v="27.0"/>
        <n v="132.0"/>
        <n v="124.0"/>
        <n v="395.0"/>
        <n v="36.0"/>
        <n v="61.0"/>
        <n v="64.0"/>
        <n v="135.0"/>
        <n v="133.0"/>
        <n v="7.0"/>
        <n v="119.0"/>
        <n v="42.0"/>
        <n v="59.0"/>
        <n v="60.0"/>
        <n v="37.0"/>
        <n v="13.0"/>
        <n v="58.0"/>
        <n v="56.0"/>
        <n v="70.0"/>
        <n v="91.0"/>
        <n v="96.0"/>
        <n v="18.0"/>
        <n v="38.0"/>
        <n v="103.0"/>
        <n v="16.0"/>
        <n v="176.0"/>
      </sharedItems>
    </cacheField>
    <cacheField name="AFFORDABLE_UNITS_AT_51_60_AMI" numFmtId="0">
      <sharedItems containsSemiMixedTypes="0" containsString="0" containsNumber="1" containsInteger="1">
        <n v="0.0"/>
        <n v="65.0"/>
        <n v="4.0"/>
        <n v="2.0"/>
        <n v="14.0"/>
        <n v="53.0"/>
        <n v="1.0"/>
        <n v="25.0"/>
        <n v="58.0"/>
        <n v="23.0"/>
        <n v="47.0"/>
        <n v="18.0"/>
        <n v="7.0"/>
        <n v="6.0"/>
        <n v="3.0"/>
        <n v="21.0"/>
        <n v="43.0"/>
        <n v="73.0"/>
        <n v="52.0"/>
        <n v="48.0"/>
        <n v="39.0"/>
        <n v="12.0"/>
        <n v="10.0"/>
        <n v="9.0"/>
        <n v="91.0"/>
        <n v="28.0"/>
        <n v="36.0"/>
        <n v="26.0"/>
        <n v="24.0"/>
        <n v="31.0"/>
        <n v="5.0"/>
        <n v="74.0"/>
        <n v="20.0"/>
        <n v="152.0"/>
        <n v="11.0"/>
        <n v="13.0"/>
        <n v="157.0"/>
        <n v="171.0"/>
        <n v="66.0"/>
        <n v="80.0"/>
        <n v="22.0"/>
        <n v="37.0"/>
        <n v="123.0"/>
        <n v="27.0"/>
        <n v="271.0"/>
        <n v="17.0"/>
        <n v="156.0"/>
        <n v="34.0"/>
        <n v="41.0"/>
        <n v="129.0"/>
        <n v="15.0"/>
        <n v="44.0"/>
        <n v="33.0"/>
        <n v="29.0"/>
        <n v="16.0"/>
        <n v="32.0"/>
        <n v="45.0"/>
        <n v="63.0"/>
        <n v="30.0"/>
        <n v="127.0"/>
        <n v="104.0"/>
        <n v="88.0"/>
      </sharedItems>
    </cacheField>
    <cacheField name="AFFORDABLE_UNITS_AT_61_80_AMI" numFmtId="0">
      <sharedItems containsSemiMixedTypes="0" containsString="0" containsNumber="1" containsInteger="1">
        <n v="9.0"/>
        <n v="32.0"/>
        <n v="8.0"/>
        <n v="2.0"/>
        <n v="0.0"/>
        <n v="3.0"/>
        <n v="12.0"/>
        <n v="16.0"/>
        <n v="1.0"/>
        <n v="6.0"/>
        <n v="4.0"/>
        <n v="23.0"/>
        <n v="17.0"/>
        <n v="14.0"/>
        <n v="19.0"/>
        <n v="26.0"/>
        <n v="30.0"/>
        <n v="28.0"/>
        <n v="10.0"/>
        <n v="39.0"/>
        <n v="92.0"/>
        <n v="15.0"/>
        <n v="20.0"/>
        <n v="11.0"/>
        <n v="35.0"/>
        <n v="18.0"/>
        <n v="5.0"/>
        <n v="40.0"/>
        <n v="42.0"/>
        <n v="13.0"/>
        <n v="53.0"/>
        <n v="38.0"/>
        <n v="24.0"/>
        <n v="46.0"/>
        <n v="7.0"/>
        <n v="36.0"/>
        <n v="50.0"/>
        <n v="63.0"/>
        <n v="302.0"/>
        <n v="95.0"/>
        <n v="159.0"/>
        <n v="108.0"/>
        <n v="70.0"/>
        <n v="65.0"/>
        <n v="56.0"/>
        <n v="89.0"/>
      </sharedItems>
    </cacheField>
    <cacheField name="AFFORDABLE_UNITS_AT_81_AMI" numFmtId="0">
      <sharedItems containsSemiMixedTypes="0" containsString="0" containsNumber="1" containsInteger="1">
        <n v="0.0"/>
        <n v="74.0"/>
        <n v="26.0"/>
        <n v="3.0"/>
        <n v="23.0"/>
        <n v="2.0"/>
      </sharedItems>
    </cacheField>
    <cacheField name="CASE_ID">
      <sharedItems containsDate="1" containsBlank="1" containsMixedTypes="1">
        <m/>
        <d v="2026-10-03T00:00:00Z"/>
        <s v="17-06"/>
        <s v="16-16"/>
        <s v="17-14"/>
        <s v="17-10"/>
        <s v="17-09"/>
        <s v="17-08"/>
        <s v="16-20"/>
        <s v="16-17"/>
        <s v="06-14D"/>
        <s v="04-14D"/>
        <s v="16-09"/>
        <s v="16-05"/>
        <s v="15-31"/>
        <s v="15-28"/>
        <s v="15-27"/>
        <s v="15-15"/>
        <s v="15-12"/>
        <s v="14-19"/>
        <s v="16-24"/>
        <s v="16-03"/>
        <s v="16-12"/>
        <s v="07-13G"/>
        <s v="15-34"/>
        <s v="17-05"/>
        <s v="15-13"/>
        <s v="13-09"/>
        <s v="14-07B"/>
        <s v="18-13"/>
        <s v="16-06"/>
        <s v="15-27A"/>
        <s v="18-20"/>
        <s v="11-03J"/>
        <s v="18-21"/>
        <s v="06-14E"/>
        <s v="15-20C"/>
        <s v="20-12"/>
        <s v="16-10"/>
        <s v="19-19"/>
        <s v="14-12E"/>
        <s v="21-21"/>
        <s v="21-11"/>
        <s v="96-13A"/>
        <s v="15-27E"/>
        <s v="22-21"/>
        <s v="17-25"/>
        <s v="23-18"/>
        <s v="23-19"/>
        <s v="23-24"/>
        <s v="05-28RS"/>
        <s v="16-25"/>
        <d v="2026-12-02T00:00:00Z"/>
        <s v="17-13"/>
        <s v="21-06"/>
        <s v="21-13"/>
        <s v="21-14"/>
        <s v="23-15"/>
      </sharedItems>
    </cacheField>
    <cacheField name="MAR_ID" numFmtId="0">
      <sharedItems containsSemiMixedTypes="0" containsString="0" containsNumber="1" containsInteger="1">
        <n v="150119.0"/>
        <n v="289048.0"/>
        <n v="286706.0"/>
        <n v="259338.0"/>
        <n v="4114.0"/>
        <n v="331865.0"/>
        <n v="285180.0"/>
        <n v="318276.0"/>
        <n v="56748.0"/>
        <n v="254492.0"/>
        <n v="254436.0"/>
        <n v="155788.0"/>
        <n v="283920.0"/>
        <n v="307103.0"/>
        <n v="318654.0"/>
        <n v="253105.0"/>
        <n v="317222.0"/>
        <n v="232548.0"/>
        <n v="327759.0"/>
        <n v="311665.0"/>
        <n v="315791.0"/>
        <n v="332112.0"/>
        <n v="335759.0"/>
        <n v="289610.0"/>
        <n v="294857.0"/>
        <n v="316290.0"/>
        <n v="318385.0"/>
        <n v="319661.0"/>
        <n v="331261.0"/>
        <n v="287372.0"/>
        <n v="146324.0"/>
        <n v="301737.0"/>
        <n v="65127.0"/>
        <n v="287344.0"/>
        <n v="50871.0"/>
        <n v="319628.0"/>
        <n v="149820.0"/>
        <n v="149791.0"/>
        <n v="316453.0"/>
        <n v="314741.0"/>
        <n v="300442.0"/>
        <n v="334861.0"/>
        <n v="228839.0"/>
        <n v="334683.0"/>
        <n v="317136.0"/>
        <n v="290008.0"/>
        <n v="276615.0"/>
        <n v="-11239.0"/>
        <n v="62153.0"/>
        <n v="284757.0"/>
        <n v="316452.0"/>
        <n v="239514.0"/>
        <n v="287032.0"/>
        <n v="319997.0"/>
        <n v="317011.0"/>
        <n v="254162.0"/>
        <n v="314729.0"/>
        <n v="242769.0"/>
        <n v="314014.0"/>
        <n v="318704.0"/>
        <n v="252478.0"/>
        <n v="252477.0"/>
        <n v="318787.0"/>
        <n v="284282.0"/>
        <n v="252830.0"/>
        <n v="253566.0"/>
        <n v="264140.0"/>
        <n v="314544.0"/>
        <n v="33069.0"/>
        <n v="297993.0"/>
        <n v="317245.0"/>
        <n v="329948.0"/>
        <n v="61232.0"/>
        <n v="277760.0"/>
        <n v="331584.0"/>
        <n v="331690.0"/>
        <n v="226757.0"/>
        <n v="320512.0"/>
        <n v="292802.0"/>
        <n v="331860.0"/>
        <n v="75088.0"/>
        <n v="229527.0"/>
        <n v="310898.0"/>
        <n v="289586.0"/>
        <n v="306458.0"/>
        <n v="74597.0"/>
        <n v="287970.0"/>
        <n v="28142.0"/>
        <n v="225073.0"/>
        <n v="242888.0"/>
        <n v="218336.0"/>
        <n v="300657.0"/>
        <n v="277043.0"/>
        <n v="258989.0"/>
        <n v="241407.0"/>
        <n v="71541.0"/>
        <n v="234656.0"/>
        <n v="52427.0"/>
        <n v="238431.0"/>
        <n v="250280.0"/>
        <n v="305797.0"/>
        <n v="242884.0"/>
        <n v="306051.0"/>
        <n v="223660.0"/>
        <n v="331212.0"/>
        <n v="319485.0"/>
        <n v="254531.0"/>
        <n v="237945.0"/>
        <n v="290477.0"/>
        <n v="279945.0"/>
        <n v="314966.0"/>
        <n v="313248.0"/>
        <n v="43833.0"/>
        <n v="284081.0"/>
        <n v="238070.0"/>
        <n v="82520.0"/>
        <n v="234130.0"/>
        <n v="300685.0"/>
        <n v="319482.0"/>
        <n v="57948.0"/>
        <n v="331211.0"/>
        <n v="155736.0"/>
        <n v="300437.0"/>
        <n v="57422.0"/>
        <n v="253102.0"/>
        <n v="259017.0"/>
        <n v="316863.0"/>
        <n v="320396.0"/>
        <n v="230181.0"/>
        <n v="72105.0"/>
        <n v="239301.0"/>
        <n v="320174.0"/>
        <n v="318962.0"/>
        <n v="289748.0"/>
        <n v="229226.0"/>
        <n v="234175.0"/>
        <n v="285464.0"/>
        <n v="306565.0"/>
        <n v="254546.0"/>
        <n v="319625.0"/>
        <n v="56871.0"/>
        <n v="218168.0"/>
        <n v="252606.0"/>
        <n v="80503.0"/>
        <n v="318404.0"/>
        <n v="285746.0"/>
        <n v="224857.0"/>
        <n v="318560.0"/>
        <n v="55790.0"/>
        <n v="286125.0"/>
        <n v="288105.0"/>
        <n v="284242.0"/>
        <n v="287085.0"/>
        <n v="306684.0"/>
        <n v="334712.0"/>
        <n v="42709.0"/>
        <n v="67040.0"/>
        <n v="73518.0"/>
        <n v="53759.0"/>
        <n v="79579.0"/>
        <n v="78556.0"/>
        <n v="32672.0"/>
        <n v="239303.0"/>
        <n v="313214.0"/>
        <n v="228685.0"/>
        <n v="327606.0"/>
        <n v="46740.0"/>
        <n v="286435.0"/>
        <n v="155345.0"/>
        <n v="296117.0"/>
        <n v="76175.0"/>
        <n v="257886.0"/>
        <n v="75993.0"/>
        <n v="236798.0"/>
        <n v="317246.0"/>
        <n v="331223.0"/>
        <n v="54043.0"/>
        <n v="335730.0"/>
        <n v="336620.0"/>
        <n v="48539.0"/>
        <n v="246749.0"/>
        <n v="288849.0"/>
        <n v="53361.0"/>
        <n v="246718.0"/>
        <n v="16230.0"/>
        <n v="309664.0"/>
        <n v="230987.0"/>
        <n v="288735.0"/>
        <n v="45976.0"/>
        <n v="234284.0"/>
        <n v="240186.0"/>
        <n v="334557.0"/>
        <n v="230672.0"/>
        <n v="67017.0"/>
        <n v="246744.0"/>
        <n v="331205.0"/>
        <n v="300734.0"/>
        <n v="54022.0"/>
        <n v="285994.0"/>
        <n v="150785.0"/>
        <n v="310302.0"/>
        <n v="41241.0"/>
        <n v="245144.0"/>
        <n v="61275.0"/>
        <n v="49834.0"/>
        <n v="54189.0"/>
        <n v="331139.0"/>
        <n v="63178.0"/>
        <n v="284589.0"/>
        <n v="238963.0"/>
        <n v="60543.0"/>
        <n v="295089.0"/>
        <n v="50111.0"/>
        <n v="42274.0"/>
        <n v="46266.0"/>
        <n v="253165.0"/>
        <n v="279933.0"/>
        <n v="331448.0"/>
        <n v="245924.0"/>
        <n v="295096.0"/>
        <n v="237613.0"/>
        <n v="259012.0"/>
        <n v="253521.0"/>
        <n v="82760.0"/>
        <n v="312830.0"/>
        <n v="332538.0"/>
        <n v="276677.0"/>
        <n v="76193.0"/>
        <n v="333707.0"/>
        <n v="313481.0"/>
        <n v="24213.0"/>
        <n v="277675.0"/>
        <n v="334013.0"/>
        <n v="246692.0"/>
        <n v="313176.0"/>
        <n v="252657.0"/>
        <n v="232403.0"/>
        <n v="16151.0"/>
        <n v="16286.0"/>
        <n v="247860.0"/>
        <n v="224858.0"/>
        <n v="24271.0"/>
        <n v="285023.0"/>
        <n v="75348.0"/>
        <n v="308590.0"/>
        <n v="75176.0"/>
        <n v="149956.0"/>
        <n v="254542.0"/>
        <n v="28323.0"/>
        <n v="231582.0"/>
        <n v="319271.0"/>
        <n v="276649.0"/>
        <n v="334719.0"/>
        <n v="335855.0"/>
        <n v="48826.0"/>
        <n v="229860.0"/>
        <n v="285004.0"/>
        <n v="284808.0"/>
        <n v="286052.0"/>
        <n v="238959.0"/>
        <n v="218122.0"/>
        <n v="74999.0"/>
        <n v="76233.0"/>
        <n v="245147.0"/>
        <n v="311496.0"/>
        <n v="279074.0"/>
        <n v="334867.0"/>
        <n v="334983.0"/>
        <n v="45938.0"/>
        <n v="319869.0"/>
        <n v="6021.0"/>
        <n v="46814.0"/>
        <n v="311494.0"/>
        <n v="78489.0"/>
        <n v="248771.0"/>
        <n v="53151.0"/>
        <n v="245912.0"/>
        <n v="336089.0"/>
        <n v="331637.0"/>
        <n v="222230.0"/>
        <n v="331715.0"/>
        <n v="219406.0"/>
        <n v="77702.0"/>
        <n v="277738.0"/>
        <n v="76374.0"/>
        <n v="48109.0"/>
        <n v="75491.0"/>
        <n v="75934.0"/>
        <n v="320397.0"/>
        <n v="337368.0"/>
        <n v="265944.0"/>
        <n v="265947.0"/>
        <n v="285395.0"/>
        <n v="302079.0"/>
        <n v="336867.0"/>
        <n v="320165.0"/>
        <n v="237134.0"/>
        <n v="331635.0"/>
        <n v="224888.0"/>
        <n v="288711.0"/>
        <n v="258035.0"/>
        <n v="302076.0"/>
        <n v="287009.0"/>
        <n v="334660.0"/>
        <n v="229519.0"/>
        <n v="310170.0"/>
        <n v="49906.0"/>
        <n v="56818.0"/>
        <n v="81005.0"/>
        <n v="80859.0"/>
        <n v="75855.0"/>
        <n v="235737.0"/>
        <n v="243481.0"/>
        <n v="46075.0"/>
        <n v="150045.0"/>
        <n v="52591.0"/>
        <n v="278211.0"/>
        <n v="82885.0"/>
        <n v="56145.0"/>
        <n v="245138.0"/>
        <n v="57796.0"/>
        <n v="243308.0"/>
        <n v="235840.0"/>
        <n v="233668.0"/>
        <n v="289719.0"/>
        <n v="152279.0"/>
        <n v="277151.0"/>
        <n v="221525.0"/>
        <n v="306501.0"/>
        <n v="339224.0"/>
        <n v="253155.0"/>
        <n v="76136.0"/>
        <n v="285150.0"/>
        <n v="47224.0"/>
        <n v="243146.0"/>
        <n v="150615.0"/>
        <n v="53006.0"/>
        <n v="46174.0"/>
        <n v="265978.0"/>
        <n v="328856.0"/>
        <n v="332901.0"/>
        <n v="44228.0"/>
        <n v="285211.0"/>
        <n v="244374.0"/>
        <n v="50400.0"/>
        <n v="230770.0"/>
        <n v="275794.0"/>
        <n v="338986.0"/>
        <n v="295460.0"/>
        <n v="52830.0"/>
        <n v="277717.0"/>
        <n v="286417.0"/>
        <n v="239754.0"/>
        <n v="44976.0"/>
        <n v="61477.0"/>
        <n v="1685.0"/>
        <n v="273875.0"/>
        <n v="228589.0"/>
        <n v="302309.0"/>
        <n v="45760.0"/>
        <n v="232888.0"/>
        <n v="60745.0"/>
        <n v="245173.0"/>
        <n v="314740.0"/>
        <n v="334779.0"/>
        <n v="277734.0"/>
        <n v="333415.0"/>
        <n v="333413.0"/>
        <n v="59567.0"/>
        <n v="335594.0"/>
        <n v="24290.0"/>
        <n v="235777.0"/>
        <n v="68301.0"/>
        <n v="23805.0"/>
        <n v="243052.0"/>
        <n v="50222.0"/>
        <n v="42685.0"/>
        <n v="254595.0"/>
        <n v="68579.0"/>
        <n v="59111.0"/>
        <n v="331735.0"/>
        <n v="335522.0"/>
        <n v="335829.0"/>
        <n v="78392.0"/>
        <n v="278584.0"/>
        <n v="231010.0"/>
        <n v="46776.0"/>
        <n v="245617.0"/>
        <n v="230675.0"/>
        <n v="246736.0"/>
        <n v="246727.0"/>
        <n v="239319.0"/>
        <n v="151117.0"/>
        <n v="252565.0"/>
        <n v="307165.0"/>
        <n v="284269.0"/>
        <n v="300721.0"/>
        <n v="336367.0"/>
        <n v="45636.0"/>
        <n v="24760.0"/>
        <n v="234278.0"/>
        <n v="59774.0"/>
        <n v="82747.0"/>
        <n v="68239.0"/>
        <n v="55642.0"/>
        <n v="236415.0"/>
        <n v="328855.0"/>
        <n v="233081.0"/>
        <n v="231109.0"/>
        <n v="305783.0"/>
        <n v="74591.0"/>
        <n v="81449.0"/>
        <n v="225153.0"/>
        <n v="48694.0"/>
        <n v="218045.0"/>
        <n v="289572.0"/>
        <n v="16126.0"/>
        <n v="307767.0"/>
        <n v="279548.0"/>
        <n v="301510.0"/>
        <n v="336898.0"/>
        <n v="331623.0"/>
        <n v="310875.0"/>
        <n v="149783.0"/>
        <n v="288960.0"/>
        <n v="52405.0"/>
        <n v="224277.0"/>
        <n v="332319.0"/>
        <n v="50278.0"/>
        <n v="229520.0"/>
        <n v="337832.0"/>
        <n v="286390.0"/>
        <n v="287156.0"/>
        <n v="31296.0"/>
      </sharedItems>
    </cacheField>
    <cacheField name="XCOORD" numFmtId="0">
      <sharedItems containsSemiMixedTypes="0" containsString="0" containsNumber="1">
        <n v="402869.48"/>
        <n v="400544.12"/>
        <n v="401400.05"/>
        <n v="399013.84"/>
        <n v="400216.07"/>
        <n v="398720.7"/>
        <n v="398261.14"/>
        <n v="398835.36"/>
        <n v="401772.41"/>
        <n v="397861.07"/>
        <n v="397680.15"/>
        <n v="405831.76"/>
        <n v="397531.42"/>
        <n v="398497.64"/>
        <n v="399786.65"/>
        <n v="397460.0"/>
        <n v="402261.49"/>
        <n v="397996.2"/>
        <n v="400237.89"/>
        <n v="406400.4"/>
        <n v="399845.54"/>
        <n v="406108.36"/>
        <n v="403836.05"/>
        <n v="400929.29"/>
        <n v="399776.7"/>
        <n v="399364.7"/>
        <n v="399794.15"/>
        <n v="400149.95"/>
        <n v="401831.68"/>
        <n v="399850.1"/>
        <n v="399923.0"/>
        <n v="399769.35"/>
        <n v="401303.0"/>
        <n v="399860.48"/>
        <n v="399442.96"/>
        <n v="397988.14"/>
        <n v="400242.99"/>
        <n v="399280.82"/>
        <n v="401436.44"/>
        <n v="402039.49"/>
        <n v="399141.25"/>
        <n v="398130.3"/>
        <n v="398042.46"/>
        <n v="399007.54"/>
        <n v="400722.53"/>
        <n v="397847.05"/>
        <n v="399303.3"/>
        <n v="399190.2232"/>
        <n v="401467.21"/>
        <n v="397935.23"/>
        <n v="398315.43"/>
        <n v="397793.03"/>
        <n v="402512.07"/>
        <n v="398917.32"/>
        <n v="401067.44"/>
        <n v="397675.02"/>
        <n v="400929.03"/>
        <n v="398033.11"/>
        <n v="401638.0"/>
        <n v="399258.23"/>
        <n v="397862.84"/>
        <n v="397855.65"/>
        <n v="406169.02"/>
        <n v="397259.43"/>
        <n v="397633.69"/>
        <n v="397675.39"/>
        <n v="393765.47"/>
        <n v="401607.48"/>
        <n v="403940.68"/>
        <n v="400159.52"/>
        <n v="401164.62"/>
        <n v="400074.61"/>
        <n v="398980.82"/>
        <n v="399138.28"/>
        <n v="399941.44"/>
        <n v="399627.9"/>
        <n v="399187.67"/>
        <n v="401199.21"/>
        <n v="397631.09"/>
        <n v="398123.05"/>
        <n v="401595.03"/>
        <n v="398678.72"/>
        <n v="401746.23"/>
        <n v="400468.02"/>
        <n v="399751.73"/>
        <n v="406576.64"/>
        <n v="404061.06"/>
        <n v="403825.07"/>
        <n v="397751.51"/>
        <n v="397298.35"/>
        <n v="399182.67"/>
        <n v="397542.88"/>
        <n v="397053.61"/>
        <n v="397086.45"/>
        <n v="396552.47"/>
        <n v="400722.47"/>
        <n v="396987.52"/>
        <n v="402162.95"/>
        <n v="398208.34"/>
        <n v="397990.3"/>
        <n v="401077.32"/>
        <n v="397183.25"/>
        <n v="399860.67"/>
        <n v="397741.93"/>
        <n v="399884.29"/>
        <n v="399922.66"/>
        <n v="397674.26"/>
        <n v="398024.2"/>
        <n v="405553.09"/>
        <n v="397984.93"/>
        <n v="398974.09"/>
        <n v="402618.82"/>
        <n v="400799.04"/>
        <n v="396489.63"/>
        <n v="397250.73"/>
        <n v="400614.59"/>
        <n v="397053.84"/>
        <n v="398608.67"/>
        <n v="401459.09"/>
        <n v="399403.43"/>
        <n v="400585.84"/>
        <n v="401028.34"/>
        <n v="396749.5"/>
        <n v="399243.38"/>
        <n v="397537.15"/>
        <n v="396910.98"/>
        <n v="397329.47"/>
        <n v="397616.28"/>
        <n v="397190.25"/>
        <n v="400798.53"/>
        <n v="397679.4"/>
        <n v="405571.89"/>
        <n v="398569.08"/>
        <n v="400555.9"/>
        <n v="398001.33"/>
        <n v="397167.05"/>
        <n v="397797.98"/>
        <n v="400897.88"/>
        <n v="397850.59"/>
        <n v="401963.19"/>
        <n v="401252.88"/>
        <n v="397550.08"/>
        <n v="397715.68"/>
        <n v="401480.04"/>
        <n v="401805.56"/>
        <n v="400644.37"/>
        <n v="397793.92"/>
        <n v="402771.88"/>
        <n v="401964.56"/>
        <n v="401326.51"/>
        <n v="400004.51"/>
        <n v="397947.54"/>
        <n v="402565.62"/>
        <n v="399103.1"/>
        <n v="397562.3"/>
        <n v="400408.8"/>
        <n v="401116.24"/>
        <n v="401676.8"/>
        <n v="402034.95"/>
        <n v="400465.61"/>
        <n v="402014.95"/>
        <n v="400783.52"/>
        <n v="397682.98"/>
        <n v="398043.36"/>
        <n v="398220.63"/>
        <n v="401073.97"/>
        <n v="401007.48"/>
        <n v="401291.27"/>
        <n v="402299.67"/>
        <n v="400756.76"/>
        <n v="400679.44"/>
        <n v="397361.19"/>
        <n v="401797.73"/>
        <n v="399186.45"/>
        <n v="401176.1"/>
        <n v="399979.69"/>
        <n v="401472.15"/>
        <n v="397235.67"/>
        <n v="399250.5"/>
        <n v="400697.81"/>
        <n v="398243.28"/>
        <n v="400272.31"/>
        <n v="402018.78"/>
        <n v="398142.32"/>
        <n v="406018.17"/>
        <n v="405698.09"/>
        <n v="397586.65"/>
        <n v="407263.83"/>
        <n v="403038.3"/>
        <n v="397023.77"/>
        <n v="397138.48"/>
        <n v="398985.84"/>
        <n v="397399.16"/>
        <n v="401081.01"/>
        <n v="398249.07"/>
        <n v="393058.51"/>
        <n v="401735.78"/>
        <n v="402086.72"/>
        <n v="400810.78"/>
        <n v="398415.05"/>
        <n v="398906.79"/>
        <n v="403073.66"/>
        <n v="398614.68"/>
        <n v="401524.05"/>
        <n v="402256.32"/>
        <n v="401646.24"/>
        <n v="402060.59"/>
        <n v="401402.56"/>
        <n v="398540.42"/>
        <n v="397628.85"/>
        <n v="401567.3"/>
        <n v="399868.08"/>
        <n v="402258.9"/>
        <n v="400233.28"/>
        <n v="401444.89"/>
        <n v="397548.9"/>
        <n v="398990.32"/>
        <n v="400799.45"/>
        <n v="399017.37"/>
        <n v="397970.65"/>
        <n v="398656.65"/>
        <n v="397067.2"/>
        <n v="397663.49"/>
        <n v="399503.28"/>
        <n v="401657.39"/>
        <n v="400775.9"/>
        <n v="399002.48"/>
        <n v="400729.26"/>
        <n v="400013.51"/>
        <n v="397756.33"/>
        <n v="400334.27"/>
        <n v="401659.64"/>
        <n v="399180.39"/>
        <n v="398111.73"/>
        <n v="402787.19"/>
        <n v="397708.28"/>
        <n v="398015.83"/>
        <n v="406000.58"/>
        <n v="405982.78"/>
        <n v="398436.97"/>
        <n v="397795.01"/>
        <n v="401044.59"/>
        <n v="397671.99"/>
        <n v="400695.41"/>
        <n v="399323.34"/>
        <n v="400763.79"/>
        <n v="401209.86"/>
        <n v="397826.32"/>
        <n v="400033.2"/>
        <n v="397228.14"/>
        <n v="402497.18"/>
        <n v="399903.68"/>
        <n v="397607.14"/>
        <n v="397611.8"/>
        <n v="402323.1"/>
        <n v="398223.04"/>
        <n v="391674.23"/>
        <n v="397136.44"/>
        <n v="400253.7"/>
        <n v="397586.19"/>
        <n v="397584.7"/>
        <n v="400740.11"/>
        <n v="400690.5"/>
        <n v="398609.39"/>
        <n v="397872.18"/>
        <n v="396763.61"/>
        <n v="405424.2"/>
        <n v="397683.3"/>
        <n v="402925.11"/>
        <n v="397171.45"/>
        <n v="407295.99"/>
        <n v="402660.91"/>
        <n v="405669.33"/>
        <n v="406126.87"/>
        <n v="398351.6"/>
        <n v="402173.33"/>
        <n v="399058.74"/>
        <n v="406263.95"/>
        <n v="393203.81"/>
        <n v="393302.86"/>
        <n v="394958.21"/>
        <n v="394608.48"/>
        <n v="401606.69"/>
        <n v="399005.79"/>
        <n v="400651.26"/>
        <n v="402357.15"/>
        <n v="401749.59"/>
        <n v="400778.95"/>
        <n v="397599.72"/>
        <n v="392838.08"/>
        <n v="392583.81"/>
        <n v="392671.82"/>
        <n v="397943.36"/>
        <n v="399911.37"/>
        <n v="400010.62"/>
        <n v="402676.64"/>
        <n v="399096.89"/>
        <n v="393260.47"/>
        <n v="397185.44"/>
        <n v="407107.34"/>
        <n v="397071.43"/>
        <n v="394459.43"/>
        <n v="402393.92"/>
        <n v="397688.11"/>
        <n v="398065.45"/>
        <n v="399174.26"/>
        <n v="402412.43"/>
        <n v="401252.46"/>
        <n v="400560.04"/>
        <n v="400546.04"/>
        <n v="400791.51"/>
        <n v="396544.4"/>
        <n v="397455.42"/>
        <n v="402523.33"/>
        <n v="401930.55"/>
        <n v="399977.29"/>
        <n v="400392.41"/>
        <n v="399252.14"/>
        <n v="401824.92"/>
        <n v="398454.13"/>
        <n v="399412.44"/>
        <n v="396795.4"/>
        <n v="396900.68"/>
        <n v="396609.91"/>
        <n v="401280.72"/>
        <n v="400752.61"/>
        <n v="395771.58"/>
        <n v="393676.0"/>
        <n v="403847.76"/>
        <n v="402547.01"/>
        <n v="397513.71"/>
        <n v="400651.49"/>
        <n v="397616.13"/>
        <n v="400626.67"/>
        <n v="396272.62"/>
        <n v="399860.92"/>
        <n v="402192.74"/>
        <n v="402634.53"/>
        <n v="392788.32"/>
        <n v="404458.36"/>
        <n v="401221.09"/>
        <n v="402814.37"/>
        <n v="397597.58"/>
        <n v="398737.7"/>
        <n v="402238.0"/>
        <n v="397187.38"/>
        <n v="392746.14"/>
        <n v="406833.82"/>
        <n v="397988.61"/>
        <n v="402140.32"/>
        <n v="401239.24"/>
        <n v="401729.45"/>
        <n v="397875.08"/>
        <n v="400313.63"/>
        <n v="401942.05"/>
        <n v="400295.63"/>
        <n v="395201.03"/>
        <n v="397930.2"/>
        <n v="399373.16"/>
        <n v="402958.33"/>
        <n v="397947.85"/>
        <n v="398970.87"/>
        <n v="398819.76"/>
        <n v="402031.12"/>
        <n v="399568.46"/>
        <n v="398893.72"/>
        <n v="398832.41"/>
        <n v="398920.18"/>
        <n v="401646.98"/>
        <n v="397639.87"/>
        <n v="405181.12"/>
        <n v="396554.12"/>
        <n v="401066.88"/>
        <n v="405218.09"/>
        <n v="396689.23"/>
        <n v="402377.35"/>
        <n v="397587.73"/>
        <n v="397691.92"/>
        <n v="401052.31"/>
        <n v="401687.21"/>
        <n v="401393.21"/>
        <n v="402370.25"/>
        <n v="397236.14"/>
        <n v="400413.19"/>
        <n v="400004.19"/>
        <n v="397670.85"/>
        <n v="402576.27"/>
        <n v="399148.72"/>
        <n v="397347.38"/>
        <n v="398084.46"/>
        <n v="398257.27"/>
        <n v="400358.47"/>
        <n v="397888.93"/>
        <n v="399635.22"/>
        <n v="398081.29"/>
        <n v="399024.35"/>
        <n v="398350.7"/>
        <n v="400399.94"/>
        <n v="401045.45"/>
        <n v="397022.12"/>
        <n v="402150.71"/>
        <n v="402084.02"/>
        <n v="401055.96"/>
        <n v="402006.75"/>
        <n v="396801.4"/>
        <n v="404341.17"/>
        <n v="397771.97"/>
        <n v="397267.58"/>
        <n v="399788.51"/>
        <n v="401644.78"/>
        <n v="402126.31"/>
        <n v="397186.41"/>
        <n v="399774.27"/>
        <n v="397533.79"/>
        <n v="400184.11"/>
        <n v="406081.68"/>
        <n v="397967.75"/>
        <n v="395874.16"/>
        <n v="395170.88"/>
        <n v="395257.98"/>
        <n v="401906.81"/>
        <n v="400358.18"/>
        <n v="400806.51"/>
        <n v="401850.82"/>
        <n v="402212.55"/>
        <n v="393412.75"/>
        <n v="396969.19"/>
        <n v="402251.35"/>
        <n v="398062.31"/>
        <n v="403481.49"/>
        <n v="401722.72"/>
        <n v="400897.66"/>
        <n v="400544.05"/>
      </sharedItems>
    </cacheField>
    <cacheField name="YCOORD" numFmtId="0">
      <sharedItems containsSemiMixedTypes="0" containsString="0" containsNumber="1">
        <n v="133447.29"/>
        <n v="136909.23"/>
        <n v="132444.26"/>
        <n v="143097.75"/>
        <n v="139913.09"/>
        <n v="137064.19"/>
        <n v="143073.14"/>
        <n v="136975.37"/>
        <n v="139987.06"/>
        <n v="143186.54"/>
        <n v="143301.2"/>
        <n v="135598.68"/>
        <n v="140921.37"/>
        <n v="134506.87"/>
        <n v="133997.61"/>
        <n v="143353.13"/>
        <n v="136705.69"/>
        <n v="139831.57"/>
        <n v="138072.55"/>
        <n v="136694.22"/>
        <n v="138238.69"/>
        <n v="136557.97"/>
        <n v="136415.71"/>
        <n v="141744.77"/>
        <n v="137913.41"/>
        <n v="133659.14"/>
        <n v="137567.25"/>
        <n v="137723.8"/>
        <n v="136884.94"/>
        <n v="137684.74"/>
        <n v="137903.9"/>
        <n v="138209.85"/>
        <n v="134659.97"/>
        <n v="137548.85"/>
        <n v="129301.0"/>
        <n v="137824.58"/>
        <n v="132574.31"/>
        <n v="137481.49"/>
        <n v="136981.89"/>
        <n v="135322.76"/>
        <n v="137298.08"/>
        <n v="138331.39"/>
        <n v="140530.55"/>
        <n v="134691.85"/>
        <n v="130943.74"/>
        <n v="139075.05"/>
        <n v="129237.48"/>
        <n v="138039.4319"/>
        <n v="135875.3"/>
        <n v="140723.68"/>
        <n v="135063.75"/>
        <n v="138707.29"/>
        <n v="132127.75"/>
        <n v="132923.93"/>
        <n v="134983.47"/>
        <n v="144268.71"/>
        <n v="134929.53"/>
        <n v="138815.59"/>
        <n v="137260.47"/>
        <n v="134230.76"/>
        <n v="141648.45"/>
        <n v="141647.94"/>
        <n v="134906.1"/>
        <n v="139096.74"/>
        <n v="142310.62"/>
        <n v="146103.85"/>
        <n v="143483.09"/>
        <n v="133117.39"/>
        <n v="135130.68"/>
        <n v="130226.9"/>
        <n v="131993.95"/>
        <n v="137958.09"/>
        <n v="133709.72"/>
        <n v="133199.59"/>
        <n v="137961.46"/>
        <n v="134042.02"/>
        <n v="138282.36"/>
        <n v="135026.24"/>
        <n v="144975.33"/>
        <n v="134381.3"/>
        <n v="137272.67"/>
        <n v="139000.45"/>
        <n v="137124.38"/>
        <n v="140211.81"/>
        <n v="137859.05"/>
        <n v="137367.32"/>
        <n v="135808.24"/>
        <n v="135174.9"/>
        <n v="141170.91"/>
        <n v="138278.74"/>
        <n v="138071.67"/>
        <n v="143064.68"/>
        <n v="141096.55"/>
        <n v="141094.68"/>
        <n v="138658.67"/>
        <n v="132746.74"/>
        <n v="140748.52"/>
        <n v="140159.83"/>
        <n v="138600.87"/>
        <n v="143183.08"/>
        <n v="139647.67"/>
        <n v="139013.59"/>
        <n v="128272.96"/>
        <n v="141481.04"/>
        <n v="143343.2"/>
        <n v="139552.0"/>
        <n v="143173.47"/>
        <n v="139965.01"/>
        <n v="138111.63"/>
        <n v="137732.61"/>
        <n v="132963.95"/>
        <n v="133595.96"/>
        <n v="139868.19"/>
        <n v="139192.1"/>
        <n v="138324.13"/>
        <n v="136951.36"/>
        <n v="139150.93"/>
        <n v="145091.49"/>
        <n v="133091.61"/>
        <n v="129341.61"/>
        <n v="132665.98"/>
        <n v="130589.68"/>
        <n v="139753.69"/>
        <n v="138360.31"/>
        <n v="143242.38"/>
        <n v="141087.63"/>
        <n v="145120.64"/>
        <n v="140925.39"/>
        <n v="140933.9"/>
        <n v="140900.63"/>
        <n v="137771.27"/>
        <n v="138340.92"/>
        <n v="134913.44"/>
        <n v="139535.7"/>
        <n v="140194.7"/>
        <n v="139214.88"/>
        <n v="138939.19"/>
        <n v="137118.55"/>
        <n v="143125.13"/>
        <n v="136831.27"/>
        <n v="137993.39"/>
        <n v="140335.2"/>
        <n v="141771.15"/>
        <n v="137051.9"/>
        <n v="140556.17"/>
        <n v="140779.63"/>
        <n v="141378.43"/>
        <n v="133388.28"/>
        <n v="137099.33"/>
        <n v="139587.32"/>
        <n v="139165.48"/>
        <n v="138973.35"/>
        <n v="134081.96"/>
        <n v="133330.23"/>
        <n v="145405.17"/>
        <n v="136235.63"/>
        <n v="134486.92"/>
        <n v="137432.93"/>
        <n v="133880.2"/>
        <n v="128840.59"/>
        <n v="136742.93"/>
        <n v="140695.84"/>
        <n v="137783.24"/>
        <n v="143212.87"/>
        <n v="140733.72"/>
        <n v="131821.05"/>
        <n v="132454.69"/>
        <n v="137974.94"/>
        <n v="131278.12"/>
        <n v="131904.26"/>
        <n v="139352.14"/>
        <n v="143295.64"/>
        <n v="137234.35"/>
        <n v="138003.55"/>
        <n v="131960.39"/>
        <n v="139594.57"/>
        <n v="133145.46"/>
        <n v="139621.85"/>
        <n v="138019.02"/>
        <n v="132821.72"/>
        <n v="143078.31"/>
        <n v="139274.97"/>
        <n v="133830.44"/>
        <n v="143188.12"/>
        <n v="137731.09"/>
        <n v="137253.0"/>
        <n v="140361.85"/>
        <n v="136612.4"/>
        <n v="132348.47"/>
        <n v="139608.94"/>
        <n v="138277.5"/>
        <n v="137406.06"/>
        <n v="140606.06"/>
        <n v="134776.56"/>
        <n v="143202.19"/>
        <n v="142524.18"/>
        <n v="137554.58"/>
        <n v="136744.37"/>
        <n v="132673.22"/>
        <n v="134573.28"/>
        <n v="136990.08"/>
        <n v="131586.3"/>
        <n v="145266.74"/>
        <n v="133141.44"/>
        <n v="134008.38"/>
        <n v="133210.6"/>
        <n v="133881.9"/>
        <n v="135550.95"/>
        <n v="143203.3"/>
        <n v="139115.47"/>
        <n v="133168.83"/>
        <n v="143183.54"/>
        <n v="133749.23"/>
        <n v="130771.52"/>
        <n v="135365.06"/>
        <n v="143654.18"/>
        <n v="137796.59"/>
        <n v="140884.97"/>
        <n v="143167.06"/>
        <n v="139787.83"/>
        <n v="138384.66"/>
        <n v="141075.81"/>
        <n v="145855.59"/>
        <n v="141891.28"/>
        <n v="132908.6"/>
        <n v="130742.97"/>
        <n v="134579.11"/>
        <n v="139395.64"/>
        <n v="139980.82"/>
        <n v="140349.18"/>
        <n v="128975.24"/>
        <n v="136827.92"/>
        <n v="137958.38"/>
        <n v="143194.79"/>
        <n v="132603.08"/>
        <n v="141844.13"/>
        <n v="139605.34"/>
        <n v="137731.15"/>
        <n v="137731.19"/>
        <n v="141124.03"/>
        <n v="141373.42"/>
        <n v="136420.02"/>
        <n v="142460.44"/>
        <n v="137325.94"/>
        <n v="138072.6"/>
        <n v="140267.41"/>
        <n v="137045.86"/>
        <n v="143119.13"/>
        <n v="137689.7"/>
        <n v="139815.69"/>
        <n v="131174.05"/>
        <n v="128531.71"/>
        <n v="145443.6"/>
        <n v="145344.59"/>
        <n v="133921.62"/>
        <n v="138668.68"/>
        <n v="138854.44"/>
        <n v="141298.13"/>
        <n v="137906.71"/>
        <n v="139133.98"/>
        <n v="139141.93"/>
        <n v="140646.27"/>
        <n v="139438.16"/>
        <n v="145135.55"/>
        <n v="138772.07"/>
        <n v="137845.42"/>
        <n v="135982.38"/>
        <n v="138836.39"/>
        <n v="139529.39"/>
        <n v="144990.08"/>
        <n v="136272.17"/>
        <n v="132008.39"/>
        <n v="137249.59"/>
        <n v="136844.17"/>
        <n v="143201.93"/>
        <n v="137158.94"/>
        <n v="143160.44"/>
        <n v="136795.69"/>
        <n v="141413.36"/>
        <n v="141537.45"/>
        <n v="140716.68"/>
        <n v="141648.36"/>
        <n v="136808.28"/>
        <n v="133606.02"/>
        <n v="137350.25"/>
        <n v="140273.32"/>
        <n v="137267.66"/>
        <n v="139410.02"/>
        <n v="140895.98"/>
        <n v="143864.61"/>
        <n v="143532.56"/>
        <n v="143539.21"/>
        <n v="143141.34"/>
        <n v="137800.02"/>
        <n v="137968.86"/>
        <n v="133972.28"/>
        <n v="137229.34"/>
        <n v="141340.66"/>
        <n v="141270.25"/>
        <n v="136278.38"/>
        <n v="144907.91"/>
        <n v="137547.75"/>
        <n v="140301.91"/>
        <n v="137739.1"/>
        <n v="139703.03"/>
        <n v="134009.69"/>
        <n v="137510.37"/>
        <n v="137987.5"/>
        <n v="141450.49"/>
        <n v="141449.68"/>
        <n v="139415.1"/>
        <n v="139306.18"/>
        <n v="143565.36"/>
        <n v="132904.21"/>
        <n v="133758.72"/>
        <n v="138880.26"/>
        <n v="132130.4"/>
        <n v="134560.1"/>
        <n v="140066.66"/>
        <n v="145478.32"/>
        <n v="138358.7"/>
        <n v="138180.65"/>
        <n v="139607.87"/>
        <n v="140573.67"/>
        <n v="135680.55"/>
        <n v="140566.06"/>
        <n v="138732.53"/>
        <n v="140523.18"/>
        <n v="139732.32"/>
        <n v="131897.97"/>
        <n v="143647.19"/>
        <n v="136952.71"/>
        <n v="142927.22"/>
        <n v="132708.06"/>
        <n v="139071.07"/>
        <n v="136905.17"/>
        <n v="137505.79"/>
        <n v="133773.84"/>
        <n v="143787.3"/>
        <n v="136926.94"/>
        <n v="131434.4"/>
        <n v="131948.69"/>
        <n v="143130.56"/>
        <n v="141684.77"/>
        <n v="133739.66"/>
        <n v="140677.85"/>
        <n v="137805.76"/>
        <n v="136952.52"/>
        <n v="138345.63"/>
        <n v="140235.74"/>
        <n v="136952.78"/>
        <n v="139958.98"/>
        <n v="137799.86"/>
        <n v="131027.99"/>
        <n v="133690.0"/>
        <n v="136947.72"/>
        <n v="136934.39"/>
        <n v="140797.19"/>
        <n v="138056.71"/>
        <n v="139597.39"/>
        <n v="140176.13"/>
        <n v="133682.44"/>
        <n v="145068.68"/>
        <n v="135254.68"/>
        <n v="134049.78"/>
        <n v="133009.19"/>
        <n v="133073.05"/>
        <n v="133031.41"/>
        <n v="139839.98"/>
        <n v="145290.21"/>
        <n v="136052.31"/>
        <n v="139190.5"/>
        <n v="134431.56"/>
        <n v="137200.65"/>
        <n v="138329.41"/>
        <n v="137508.94"/>
        <n v="135316.29"/>
        <n v="143129.26"/>
        <n v="134487.67"/>
        <n v="136830.76"/>
        <n v="132139.02"/>
        <n v="131991.62"/>
        <n v="139566.45"/>
        <n v="134697.74"/>
        <n v="133026.36"/>
        <n v="140351.53"/>
        <n v="131769.61"/>
        <n v="143612.17"/>
        <n v="140577.2"/>
        <n v="143181.44"/>
        <n v="143194.75"/>
        <n v="137825.71"/>
        <n v="137154.48"/>
        <n v="141181.87"/>
        <n v="138115.47"/>
        <n v="139028.26"/>
        <n v="143205.91"/>
        <n v="140411.02"/>
        <n v="132268.87"/>
        <n v="136404.17"/>
        <n v="139562.79"/>
        <n v="133597.82"/>
        <n v="137220.75"/>
        <n v="134789.17"/>
        <n v="137023.93"/>
        <n v="140201.23"/>
        <n v="136809.81"/>
        <n v="139508.31"/>
        <n v="140232.77"/>
        <n v="137216.39"/>
        <n v="137368.36"/>
        <n v="137075.37"/>
        <n v="141157.96"/>
        <n v="137121.71"/>
        <n v="137345.22"/>
        <n v="139471.19"/>
        <n v="137830.68"/>
        <n v="140505.56"/>
        <n v="137616.87"/>
        <n v="139529.77"/>
        <n v="139656.8"/>
        <n v="131898.09"/>
        <n v="140471.95"/>
        <n v="137261.24"/>
        <n v="136963.93"/>
        <n v="140275.64"/>
        <n v="139619.47"/>
        <n v="138434.62"/>
        <n v="133745.38"/>
        <n v="139744.54"/>
        <n v="133601.87"/>
        <n v="136690.86"/>
        <n v="132277.87"/>
        <n v="140917.69"/>
      </sharedItems>
    </cacheField>
    <cacheField name="FULLADDRESS" numFmtId="0">
      <sharedItems>
        <s v="1715 28TH PLACE SE"/>
        <s v="901 H STREET NE"/>
        <s v="2200 HUNTER PLACE SE"/>
        <s v="53 MISSOURI AVENUE NW"/>
        <s v="617 HAMLIN STREET NE"/>
        <s v="881 3RD STREET NW"/>
        <s v="5400 5TH STREET NW"/>
        <s v="810 NEW JERSEY AVENUE NW"/>
        <s v="1736 RHODE ISLAND AVENUE NE"/>
        <s v="809 KENNEDY STREET NW"/>
        <s v="931 LONGFELLOW STREET NW"/>
        <s v="101 49TH STREET SE"/>
        <s v="1125 SPRING ROAD NW"/>
        <s v="1000 4TH STREET SW"/>
        <s v="220 WATER STREET SE"/>
        <s v="1214 MADISON STREET NW"/>
        <s v="633 21ST STREET NE"/>
        <s v="2812 GEORGIA AVENUE NW"/>
        <s v="440 PENN STREET NE"/>
        <s v="5129 NANNIE HELEN BURROUGHS AVENUE NE"/>
        <s v="1501 HARRY THOMAS WAY NE"/>
        <s v="599 50TH STREET NE"/>
        <s v="3450 EADS STREET NE"/>
        <s v="1200 VARNUM STREET NE"/>
        <s v="200 FLORIDA AVENUE NE"/>
        <s v="71 POTOMAC AVENUE SE"/>
        <s v="1220 3RD STREET NE"/>
        <s v="550 MORSE STREET NE"/>
        <s v="1701 H STREET NE"/>
        <s v="301 N STREET NE"/>
        <s v="300 MORSE STREET NE"/>
        <s v="1500 HARRY THOMAS WAY NE"/>
        <s v="1401 PENNSYLVANIA AVENUE SE"/>
        <s v="300 M STREET NE"/>
        <s v="22 ATLANTIC STREET SE"/>
        <s v="1336 8TH STREET NW"/>
        <s v="1200 SUMNER ROAD SE"/>
        <s v="1133 NORTH CAPITOL STREET NE"/>
        <s v="808 BLADENSBURG ROAD NE"/>
        <s v="1900 C STREET SE"/>
        <s v="2 L STREET NW"/>
        <s v="1707 7TH STREET NW"/>
        <s v="610 PARK ROAD NW"/>
        <s v="64 H STREET SW"/>
        <s v="1201 OAK DRIVE SE"/>
        <s v="965 FLORIDA AVENUE NW"/>
        <s v="4001 SOUTH CAPITOL STREET SW"/>
        <s v="1520 NORTH CAPITOL STREET NW"/>
        <s v="1511 A STREET NE"/>
        <s v="3559 GEORGIA AVENUE NW"/>
        <s v="555 E STREET SW"/>
        <s v="1923 VERMONT AVENUE NW"/>
        <s v="2412 AINGER PLACE SE"/>
        <s v="2121 1ST STREET SW"/>
        <s v="1309 E STREET SE"/>
        <s v="917 SHERIDAN STREET NW"/>
        <s v="1220 PENNSYLVANIA AVENUE SE"/>
        <s v="2009 8TH STREET NW"/>
        <s v="1021 BLADENSBURG ROAD NE"/>
        <s v="1211 VAN STREET SE"/>
        <s v="836 VARNUM STREET NW"/>
        <s v="838 VARNUM STREET NW"/>
        <s v="412 51ST STREET SE"/>
        <s v="2213 14TH STREET NW"/>
        <s v="4804 GEORGIA AVENUE NW"/>
        <s v="7700 GEORGIA AVENUE NW"/>
        <s v="5301 CONNECTICUT AVENUE NW"/>
        <s v="1605 GOOD HOPE ROAD SE"/>
        <s v="3600 ELY PLACE SE"/>
        <s v="3300 6TH STREET SE"/>
        <s v="2910 STANTON ROAD SE"/>
        <s v="1320 4TH STREET NE"/>
        <s v="1530 1ST STREET SW"/>
        <s v="1900 HALF STREET SW"/>
        <s v="1280 UNION STREET NE"/>
        <s v="1300 YARDS PLACE SE"/>
        <s v="4 R STREET NW"/>
        <s v="1350 E STREET SE"/>
        <s v="6800 GEORGIA AVENUE NW"/>
        <s v="35 PARKER ROW SW"/>
        <s v="1028 BLADENSBURG ROAD NE"/>
        <s v="205 V STREET NW"/>
        <s v="1676 MARYLAND AVENUE NE"/>
        <s v="3201 8TH STREET NE"/>
        <s v="202 FLORIDA AVENUE NE"/>
        <s v="1100 EASTERN AVENUE NE"/>
        <s v="3534 EAST CAPITOL STREET NE"/>
        <s v="401 ANACOSTIA ROAD SE"/>
        <s v="930 RANDOLPH STREET NW"/>
        <s v="1338 R STREET NW"/>
        <s v="1532 NORTH CAPITOL STREET NW"/>
        <s v="1203 JEFFERSON STREET NW"/>
        <s v="1416 QUINCY STREET NW"/>
        <s v="1410 QUINCY STREET NW"/>
        <s v="1729 T STREET NW"/>
        <s v="1212 TALBERT STREET SE"/>
        <s v="1447 OAK STREET NW"/>
        <s v="2027 RHODE ISLAND AVENUE NE"/>
        <s v="618 T STREET NW"/>
        <s v="721 KENNEDY STREET NW"/>
        <s v="2711 13TH STREET NE"/>
        <s v="1400 W STREET NW"/>
        <s v="4656 LIVINGSTON ROAD SE"/>
        <s v="4111 KANSAS AVENUE NW"/>
        <s v="325 RIGGS ROAD NE"/>
        <s v="2612 4TH STREET NE"/>
        <s v="927 KENNEDY STREET NW"/>
        <s v="2905 GEORGIA AVENUE NW"/>
        <s v="1516 KENILWORTH AVENUE NE"/>
        <s v="801 N STREET NW"/>
        <s v="88 V STREET SW"/>
        <s v="1614 26TH PLACE SE"/>
        <s v="2900 12TH STREET NE"/>
        <s v="1731 KALORAMA ROAD NW"/>
        <s v="1701 14TH STREET NW"/>
        <s v="920 H STREET NE"/>
        <s v="1460 BELMONT STREET NW"/>
        <s v="218 VINE STREET NW"/>
        <s v="1928 15TH STREET SE"/>
        <s v="17 MISSISSIPPI AVENUE SE"/>
        <s v="2442 MARTIN LUTHER KING JR AVENUE SE"/>
        <s v="1301 SAVANNAH STREET SE"/>
        <s v="1630 COLUMBIA ROAD NW"/>
        <s v="1715 NORTH CAPITOL STREET NE"/>
        <s v="1202 LONGFELLOW STREET NW"/>
        <s v="1445 SPRING ROAD NW"/>
        <s v="1320 MAIN DRIVE NW"/>
        <s v="1001 SPRING ROAD NW"/>
        <s v="3601 14TH STREET NW"/>
        <s v="1201 PERRY STREET NE"/>
        <s v="1313 11TH STREET NW"/>
        <s v="1650 KENILWORTH AVENUE NE"/>
        <s v="600 4TH STREET SW"/>
        <s v="2607 REED STREET NE"/>
        <s v="3117 GEORGIA AVENUE NW"/>
        <s v="1417 BELMONT STREET NW"/>
        <s v="923 V STREET NW"/>
        <s v="919 12TH STREET NE"/>
        <s v="818 KENNEDY STREET NW"/>
        <s v="759 18TH STREET NE"/>
        <s v="1732 MONTELLO AVENUE NE"/>
        <s v="3300 11TH STREET NW"/>
        <s v="4328 GEORGIA AVENUE NW"/>
        <s v="818 BLADENSBURG ROAD NE"/>
        <s v="1803 1/2 MONROE STREET NE"/>
        <s v="1005 BUNKER HILL ROAD NE"/>
        <s v="4014 GEORGIA AVENUE NW"/>
        <s v="1735 28TH STREET SE"/>
        <s v="1810 I STREET NE"/>
        <s v="1400 MONTANA AVENUE NE"/>
        <s v="410 RHODE ISLAND AVENUE NE"/>
        <s v="2131 9TH STREET NW"/>
        <s v="2505 BURNS STREET SE"/>
        <s v="1800 HALF STREET SW"/>
        <s v="7150 12TH STREET NW"/>
        <s v="300 8TH STREET NE"/>
        <s v="1331 K STREET SE"/>
        <s v="1122 BLADENSBURG ROAD NE"/>
        <s v="1928 NAYLOR ROAD SE"/>
        <s v="800 SOUTHERN AVENUE SE"/>
        <s v="740 19TH STREET NE"/>
        <s v="3619 12TH STREET NE"/>
        <s v="1317 11TH STREET NW"/>
        <s v="5508 7TH STREET NW"/>
        <s v="3569 WARDER STREET NW"/>
        <s v="2433 ELVANS ROAD SE"/>
        <s v="2501 WEST STREET SE"/>
        <s v="1723 MONTELLO AVENUE NE"/>
        <s v="2224 SAVANNAH TERRACE SE"/>
        <s v="2549 ELVANS ROAD SE"/>
        <s v="1001 BRYANT STREET NE"/>
        <s v="1307 LONGFELLOW STREET NW"/>
        <s v="1010 17TH STREET NE"/>
        <s v="1504 NORTH CAPITOL STREET NW"/>
        <s v="2912 STANTON ROAD SE"/>
        <s v="2641 4TH STREET NE"/>
        <s v="1916 15TH STREET SE"/>
        <s v="2641 14TH STREET NW"/>
        <s v="1515 NORTH CAPITOL STREET NE"/>
        <s v="2323 MARTIN LUTHER KING JR AVENUE SE"/>
        <s v="505 JEFFERSON STREET NW"/>
        <s v="680 RHODE ISLAND AVENUE NE"/>
        <s v="1949 NAYLOR ROAD SE"/>
        <s v="611 KENNEDY STREET NW"/>
        <s v="4920 NASH STREET NE"/>
        <s v="4732 SHERIFF ROAD NE"/>
        <s v="3315 11TH STREET NW"/>
        <s v="5900 FOOTE STREET NE"/>
        <s v="2604 29TH STREET SE"/>
        <s v="2622 UNIVERSITY PLACE NW"/>
        <s v="1420 R STREET NW"/>
        <s v="22 BANNER LANE NW"/>
        <s v="3534 13TH STREET NW"/>
        <s v="1335 PENNSYLVANIA AVENUE SE"/>
        <s v="505 KENNEDY STREET NW"/>
        <s v="4633 41ST STREET NW"/>
        <s v="1214 BLADENSBURG ROAD NE"/>
        <s v="1915 BENNING ROAD NE"/>
        <s v="1258 TALBERT STREET SE"/>
        <s v="400 I STREET SW"/>
        <s v="801 NEW JERSEY AVENUE NW"/>
        <s v="3044 30TH STREET SE"/>
        <s v="218 CEDAR STREET NW"/>
        <s v="1525 GOOD HOPE ROAD SE"/>
        <s v="2230 NICHOLSON STREET SE"/>
        <s v="1913 17TH STREET SE"/>
        <s v="1517 YOUNG STREET SE"/>
        <s v="1444 INDEPENDENCE AVENUE SE"/>
        <s v="313 KENNEDY STREET NW"/>
        <s v="2220 11TH STREET NW"/>
        <s v="1600 GOOD HOPE ROAD SE"/>
        <s v="5543 SOUTH DAKOTA AVENUE NE"/>
        <s v="2217 MINNESOTA AVENUE SE"/>
        <s v="3006 MARTIN LUTHER KING JR AVENUE SE"/>
        <s v="256 15TH STREET SE"/>
        <s v="5816 GEORGIA AVENUE NW"/>
        <s v="79 HANOVER PLACE NW"/>
        <s v="3743 12TH STREET NE"/>
        <s v="30 KENNEDY STREET NW"/>
        <s v="714 GIRARD STREET NW"/>
        <s v="304 FLORIDA AVENUE NW"/>
        <s v="1419 SPRING ROAD NW"/>
        <s v="7428 GEORGIA AVENUE NW"/>
        <s v="93 HAWAII AVENUE NE"/>
        <s v="1639 V STREET SE"/>
        <s v="1123 SYCAMORE DRIVE SE"/>
        <s v="60 I STREET SW"/>
        <s v="1001 RHODE ISLAND AVENUE NE"/>
        <s v="3071 4TH STREET NE"/>
        <s v="785 LAMONT STREET NW"/>
        <s v="4272 7TH STREET SE"/>
        <s v="1603 BENNING ROAD NE"/>
        <s v="14 P STREET NW"/>
        <s v="623 KENNEDY STREET NW"/>
        <s v="2219 TOWN CENTER DRIVE SE"/>
        <s v="4408 GEORGIA AVENUE NW"/>
        <s v="705 EUCLID STREET NW"/>
        <s v="4916 NASH STREET NE"/>
        <s v="4912 NASH STREET NE"/>
        <s v="423 QUINCY STREET NW"/>
        <s v="4012 GEORGIA AVENUE NW"/>
        <s v="429 13TH STREET NE"/>
        <s v="4905 GEORGIA AVENUE NW"/>
        <s v="1020 FLORIDA AVENUE NE"/>
        <s v="38 PORTER STREET NE"/>
        <s v="1031 KEARNY STREET NE"/>
        <s v="1358 FLORIDA AVENUE NE"/>
        <s v="826 KENNEDY STREET NW"/>
        <s v="400 FLORIDA AVENUE NE"/>
        <s v="2801 14TH STREET NW"/>
        <s v="3301 23RD STREET SE"/>
        <s v="4518 3RD STREET SE"/>
        <s v="7175 12TH STREET NW"/>
        <s v="1155 DAHLIA STREET NW"/>
        <s v="2305 NICHOLSON STREET SE"/>
        <s v="611 FLORIDA AVENUE NW"/>
        <s v="4865 MACARTHUR BOULEVARD NW"/>
        <s v="3934 14TH STREET NW"/>
        <s v="1325 5TH STREET NE"/>
        <s v="2237 12TH STREET NW"/>
        <s v="2243 12TH STREET NW"/>
        <s v="1036 NEWTON STREET NE"/>
        <s v="1002 RHODE ISLAND AVENUE NE"/>
        <s v="225 VINE STREET NW"/>
        <s v="912 U STREET NW"/>
        <s v="1328 16TH STREET NW"/>
        <s v="4501 BLAINE STREET NE"/>
        <s v="2005 11TH STREET NW"/>
        <s v="2601 30TH STREET NE"/>
        <s v="1395 ASPEN STREET NW"/>
        <s v="5907 DIX STREET NE"/>
        <s v="2483 ALABAMA AVENUE SE"/>
        <s v="4726 SHERIFF ROAD NE"/>
        <s v="737 50TH STREET NE"/>
        <s v="429 KENNEDY STREET NW"/>
        <s v="2001 I STREET NE"/>
        <s v="22 KENNEDY STREET NW"/>
        <s v="726 51ST STREET NE"/>
        <s v="20 RIDGE SQUARE NW"/>
        <s v="4000 WISCONSIN AVENUE NW"/>
        <s v="3408 CONNECTICUT AVENUE NW"/>
        <s v="4111 CONNECTICUT AVENUE NW"/>
        <s v="721 16TH STREET NE"/>
        <s v="113 POTOMAC AVENUE SW"/>
        <s v="1006 FLORIDA AVENUE NE"/>
        <s v="2365 RHODE ISLAND AVENUE NE"/>
        <s v="1019 17TH PLACE NE"/>
        <s v="1009 RHODE ISLAND AVENUE NE"/>
        <s v="1015 SPRING ROAD NW"/>
        <s v="5455 WESTERN AVENUE NW"/>
        <s v="5300 WISCONSIN AVENUE NW"/>
        <s v="5333 WISCONSIN AVENUE NW"/>
        <s v="732 KENNEDY STREET NW"/>
        <s v="325 MORSE STREET NE"/>
        <s v="300 NEAL PLACE NE"/>
        <s v="1325 27TH STREET SE"/>
        <s v="33 K STREET NW"/>
        <s v="30 RIDGE SQUARE NW"/>
        <s v="3923 14TH STREET NW"/>
        <s v="5717 DIX STREET NE"/>
        <s v="1400 ASPEN STREET NW"/>
        <s v="3220 PROSPECT STREET NW"/>
        <s v="2385 RHODE ISLAND AVENUE NE"/>
        <s v="1301 11TH STREET NW"/>
        <s v="2711 GEORGIA AVENUE NW"/>
        <s v="1319 SOUTH CAPITOL STREET SW"/>
        <s v="2225 M STREET NE"/>
        <s v="1730 MONTELLO AVENUE NE"/>
        <s v="828 TAYLOR STREET NE"/>
        <s v="824 TAYLOR STREET NE"/>
        <s v="1011 RHODE ISLAND AVENUE NE"/>
        <s v="2359 ONTARIO ROAD NW"/>
        <s v="5759 13TH STREET NW"/>
        <s v="2585 NAYLOR ROAD SE"/>
        <s v="1507 19TH STREET SE"/>
        <s v="2023 4TH STREET NE"/>
        <s v="2652 MARTIN LUTHER KING JR AVENUE SE"/>
        <s v="950 SOUTH CAPITOL STREET SE"/>
        <s v="1800 HAMLIN STREET NE"/>
        <s v="7050 EASTERN AVENUE NW"/>
        <s v="1708 1ST STREET NE"/>
        <s v="1610 16TH STREET NW"/>
        <s v="2637 16TH STREET NW"/>
        <s v="1701 PARK ROAD NW"/>
        <s v="26 14TH STREET SE"/>
        <s v="3500 12TH STREET NE"/>
        <s v="2151 CALIFORNIA STREET NW"/>
        <s v="3218 WISCONSIN AVENUE NW"/>
        <s v="3400 COMMODORE JOSHUA BARNEY DRIVE NE"/>
        <s v="2917 KNOX PLACE SE"/>
        <s v="5835 COLORADO AVENUE NW"/>
        <s v="1000 H STREET NE"/>
        <s v="5301 GEORGIA AVENUE NW"/>
        <s v="2420 MARTIN LUTHER KING JR AVENUE SE"/>
        <s v="1836 KALORAMA ROAD NW"/>
        <s v="309 H STREET NE"/>
        <s v="2005 M STREET NE"/>
        <s v="2530 PARK PLACE SE"/>
        <s v="5425 WESTERN AVENUE NW"/>
        <s v="700 KENILWORTH TERRACE NE"/>
        <s v="2611 12TH PLACE SE"/>
        <s v="2817 BUENA VISTA TERRACE SE"/>
        <s v="5433 GEORGIA AVENUE NW"/>
        <s v="214 VARNUM STREET NW"/>
        <s v="2211 MINNESOTA AVENUE SE"/>
        <s v="3461 14TH STREET NW"/>
        <s v="4457 MACARTHUR BOULEVARD NW"/>
        <s v="906 55TH STREET NE"/>
        <s v="801 R STREET NW"/>
        <s v="2015 JACKSON STREET NE"/>
        <s v="806 14TH STREET NE"/>
        <s v="1716 RHODE ISLAND AVENUE NE"/>
        <s v="1322 9TH STREET NW"/>
        <s v="2739 MARTIN LUTHER KING JR AVENUE SE"/>
        <s v="1525 19TH STREET SE"/>
        <s v="646 H STREET NE"/>
        <s v="2601 VIRGINIA AVENUE NW"/>
        <s v="3619 GEORGIA AVENUE NW"/>
        <s v="50 FLORIDA AVENUE NE"/>
        <s v="2619 BLADENSBURG ROAD NE"/>
        <s v="3110 GEORGIA AVENUE NW"/>
        <s v="1550 1ST STREET SW"/>
        <s v="6896 LAUREL STREET NW"/>
        <s v="1901 C STREET SE"/>
        <s v="1331 YARDS PLACE SE"/>
        <s v="101 V STREET SW"/>
        <s v="2000 2ND STREET SW"/>
        <s v="2099 1ST STREET SW"/>
        <s v="1617 RHODE ISLAND AVENUE NE"/>
        <s v="1100 DAHLIA STREET NW"/>
        <s v="4256 BENNING ROAD NE"/>
        <s v="2321 ONTARIO ROAD NW"/>
        <s v="1310 L STREET SE"/>
        <s v="4311 SHERIFF ROAD NE"/>
        <s v="1641 R STREET NW"/>
        <s v="2213 M STREET NE"/>
        <s v="300 12TH STREET SW"/>
        <s v="918 KENNEDY STREET NW"/>
        <s v="1307 K STREET SE"/>
        <s v="1627 BENNING ROAD NE"/>
        <s v="2303 ELVANS ROAD SE"/>
        <s v="2838 LANGSTON PLACE SE"/>
        <s v="2601 14TH STREET NW"/>
        <s v="733 8TH STREET SE"/>
        <s v="632 HOWARD ROAD SE"/>
        <s v="3308 SHERMAN AVENUE NW"/>
        <s v="2474 ALABAMA AVENUE SE"/>
        <s v="11 NICHOLSON STREET NW"/>
        <s v="3435 HOLMEAD PLACE NW"/>
        <s v="5501 7TH STREET NW"/>
        <s v="501 KENNEDY STREET NW"/>
        <s v="1335 11TH STREET NW"/>
        <s v="701 K STREET NE"/>
        <s v="3831 GEORGIA AVENUE NW"/>
        <s v="151 Q STREET NE"/>
        <s v="2200 GEORGIA AVENUE NW"/>
        <s v="71 KENNEDY STREET NW"/>
        <s v="423 LAMONT STREET NW"/>
        <s v="2628 MARTIN LUTHER KING JR AVENUE SE"/>
        <s v="423 13TH STREET NE"/>
        <s v="2610 UNIVERSITY PLACE NW"/>
        <s v="1613 22ND STREET SE"/>
        <s v="929 19TH STREET NE"/>
        <s v="1313 PENNSYLVANIA AVENUE SE"/>
        <s v="1812 H PLACE NE"/>
        <s v="3132 16TH STREET NW"/>
        <s v="630 KENILWORTH TERRACE NE"/>
        <s v="2570 SHERMAN AVENUE NW"/>
        <s v="1349 KENYON STREET NW"/>
        <s v="250 K STREET NE"/>
        <s v="1100 BLADENSBURG ROAD NE"/>
        <s v="850 20TH STREET NE"/>
        <s v="3829 14TH STREET NW"/>
        <s v="232 PARKER STREET NE"/>
        <s v="1201 L STREET NW"/>
        <s v="611 EDGEWOOD STREET NE"/>
        <s v="4915 QUARLES STREET NE"/>
        <s v="3411 GEORGIA AVENUE NW"/>
        <s v="2121 WARD PLACE NW"/>
        <s v="2601 CALVERT STREET NW"/>
        <s v="2650 WOODLEY ROAD NW"/>
        <s v="1821 GAINESVILLE STREET SE"/>
        <s v="701 MONROE STREET NE"/>
        <s v="1124 FLORIDA AVENUE NE"/>
        <s v="801 17TH STREET NE"/>
        <s v="2026 JACKSON STREET NE"/>
        <s v="2626 TUNLAW ROAD NW"/>
        <s v="1732 15TH STREET NW"/>
        <s v="2215 MINNESOTA AVENUE SE"/>
        <s v="654 GIRARD STREET NW"/>
        <s v="1550 BRANCH AVENUE SE"/>
        <s v="1661 GALES STREET NE"/>
        <s v="2629 STANTON ROAD SE"/>
        <s v="3726 10TH STREET NE"/>
      </sharedItems>
    </cacheField>
    <cacheField name="GIS_LAST_MOD_DTTM" numFmtId="0">
      <sharedItems>
        <s v="2026/02/23 05:00:22+00"/>
      </sharedItems>
    </cacheField>
    <cacheField name="AFFORDABLE_UNITS_PRESERVED" numFmtId="0">
      <sharedItems containsSemiMixedTypes="0" containsString="0" containsNumber="1" containsInteger="1">
        <n v="0.0"/>
        <n v="51.0"/>
        <n v="28.0"/>
        <n v="35.0"/>
        <n v="15.0"/>
        <n v="77.0"/>
        <n v="149.0"/>
        <n v="65.0"/>
        <n v="40.0"/>
        <n v="84.0"/>
        <n v="89.0"/>
        <n v="13.0"/>
        <n v="336.0"/>
        <n v="190.0"/>
        <n v="395.0"/>
        <n v="80.0"/>
        <n v="14.0"/>
        <n v="42.0"/>
        <n v="118.0"/>
        <n v="88.0"/>
        <n v="61.0"/>
        <n v="394.0"/>
        <n v="83.0"/>
        <n v="5.0"/>
        <n v="36.0"/>
        <n v="7.0"/>
        <n v="1.0"/>
        <n v="120.0"/>
        <n v="21.0"/>
        <n v="48.0"/>
        <n v="30.0"/>
        <n v="300.0"/>
      </sharedItems>
    </cacheField>
    <cacheField name="UNITS_NEWLY_COVENANT_EXISTING" numFmtId="0">
      <sharedItems containsSemiMixedTypes="0" containsString="0" containsNumber="1" containsInteger="1">
        <n v="0.0"/>
        <n v="10.0"/>
        <n v="80.0"/>
        <n v="12.0"/>
        <n v="100.0"/>
        <n v="195.0"/>
        <n v="65.0"/>
        <n v="30.0"/>
        <n v="53.0"/>
        <n v="18.0"/>
        <n v="36.0"/>
        <n v="67.0"/>
        <n v="63.0"/>
        <n v="77.0"/>
        <n v="96.0"/>
        <n v="6.0"/>
        <n v="16.0"/>
        <n v="19.0"/>
        <n v="71.0"/>
        <n v="14.0"/>
        <n v="34.0"/>
        <n v="8.0"/>
        <n v="302.0"/>
        <n v="165.0"/>
        <n v="25.0"/>
        <n v="129.0"/>
        <n v="353.0"/>
      </sharedItems>
    </cacheField>
    <cacheField name="AFFORDABLE_UNITS_PRODUCTION" numFmtId="0">
      <sharedItems containsSemiMixedTypes="0" containsString="0" containsNumber="1" containsInteger="1">
        <n v="14.0"/>
        <n v="32.0"/>
        <n v="10.0"/>
        <n v="0.0"/>
        <n v="71.0"/>
        <n v="104.0"/>
        <n v="61.0"/>
        <n v="38.0"/>
        <n v="28.0"/>
        <n v="45.0"/>
        <n v="136.0"/>
        <n v="53.0"/>
        <n v="1.0"/>
        <n v="2.0"/>
        <n v="37.0"/>
        <n v="58.0"/>
        <n v="23.0"/>
        <n v="49.0"/>
        <n v="30.0"/>
        <n v="51.0"/>
        <n v="17.0"/>
        <n v="31.0"/>
        <n v="52.0"/>
        <n v="59.0"/>
        <n v="13.0"/>
        <n v="24.0"/>
        <n v="86.0"/>
        <n v="100.0"/>
        <n v="85.0"/>
        <n v="108.0"/>
        <n v="102.0"/>
        <n v="98.0"/>
        <n v="202.0"/>
        <n v="132.0"/>
        <n v="195.0"/>
        <n v="18.0"/>
        <n v="12.0"/>
        <n v="72.0"/>
        <n v="7.0"/>
        <n v="5.0"/>
        <n v="11.0"/>
        <n v="3.0"/>
        <n v="15.0"/>
        <n v="4.0"/>
        <n v="8.0"/>
        <n v="121.0"/>
        <n v="9.0"/>
        <n v="101.0"/>
        <n v="29.0"/>
        <n v="75.0"/>
        <n v="42.0"/>
        <n v="62.0"/>
        <n v="46.0"/>
        <n v="63.0"/>
        <n v="95.0"/>
        <n v="47.0"/>
        <n v="20.0"/>
        <n v="152.0"/>
        <n v="40.0"/>
        <n v="77.0"/>
        <n v="92.0"/>
        <n v="41.0"/>
        <n v="112.0"/>
        <n v="54.0"/>
        <n v="157.0"/>
        <n v="19.0"/>
        <n v="26.0"/>
        <n v="27.0"/>
        <n v="43.0"/>
        <n v="81.0"/>
        <n v="25.0"/>
        <n v="123.0"/>
        <n v="93.0"/>
        <n v="64.0"/>
        <n v="148.0"/>
        <n v="179.0"/>
        <n v="69.0"/>
        <n v="6.0"/>
        <n v="156.0"/>
        <n v="76.0"/>
        <n v="65.0"/>
        <n v="55.0"/>
        <n v="129.0"/>
        <n v="33.0"/>
        <n v="70.0"/>
        <n v="88.0"/>
        <n v="16.0"/>
        <n v="34.0"/>
        <n v="96.0"/>
        <n v="78.0"/>
        <n v="35.0"/>
        <n v="145.0"/>
        <n v="170.0"/>
      </sharedItems>
    </cacheField>
    <cacheField name="UNITS_NET_NEW" numFmtId="0">
      <sharedItems containsSemiMixedTypes="0" containsString="0" containsNumber="1" containsInteger="1">
        <n v="14.0"/>
        <n v="32.0"/>
        <n v="10.0"/>
        <n v="80.0"/>
        <n v="71.0"/>
        <n v="12.0"/>
        <n v="104.0"/>
        <n v="61.0"/>
        <n v="38.0"/>
        <n v="0.0"/>
        <n v="28.0"/>
        <n v="45.0"/>
        <n v="136.0"/>
        <n v="53.0"/>
        <n v="1.0"/>
        <n v="2.0"/>
        <n v="37.0"/>
        <n v="58.0"/>
        <n v="23.0"/>
        <n v="49.0"/>
        <n v="30.0"/>
        <n v="51.0"/>
        <n v="17.0"/>
        <n v="31.0"/>
        <n v="52.0"/>
        <n v="59.0"/>
        <n v="13.0"/>
        <n v="24.0"/>
        <n v="86.0"/>
        <n v="100.0"/>
        <n v="85.0"/>
        <n v="108.0"/>
        <n v="102.0"/>
        <n v="98.0"/>
        <n v="202.0"/>
        <n v="132.0"/>
        <n v="195.0"/>
        <n v="18.0"/>
        <n v="72.0"/>
        <n v="7.0"/>
        <n v="5.0"/>
        <n v="11.0"/>
        <n v="3.0"/>
        <n v="15.0"/>
        <n v="4.0"/>
        <n v="8.0"/>
        <n v="121.0"/>
        <n v="9.0"/>
        <n v="101.0"/>
        <n v="29.0"/>
        <n v="75.0"/>
        <n v="42.0"/>
        <n v="62.0"/>
        <n v="46.0"/>
        <n v="63.0"/>
        <n v="95.0"/>
        <n v="47.0"/>
        <n v="20.0"/>
        <n v="152.0"/>
        <n v="40.0"/>
        <n v="77.0"/>
        <n v="92.0"/>
        <n v="41.0"/>
        <n v="112.0"/>
        <n v="65.0"/>
        <n v="54.0"/>
        <n v="157.0"/>
        <n v="19.0"/>
        <n v="26.0"/>
        <n v="27.0"/>
        <n v="43.0"/>
        <n v="81.0"/>
        <n v="25.0"/>
        <n v="123.0"/>
        <n v="93.0"/>
        <n v="64.0"/>
        <n v="148.0"/>
        <n v="179.0"/>
        <n v="69.0"/>
        <n v="6.0"/>
        <n v="156.0"/>
        <n v="76.0"/>
        <n v="55.0"/>
        <n v="129.0"/>
        <n v="33.0"/>
        <n v="36.0"/>
        <n v="67.0"/>
        <n v="70.0"/>
        <n v="88.0"/>
        <n v="96.0"/>
        <n v="16.0"/>
        <n v="34.0"/>
        <n v="78.0"/>
        <n v="302.0"/>
        <n v="35.0"/>
        <n v="165.0"/>
        <n v="145.0"/>
        <n v="170.0"/>
        <n v="353.0"/>
      </sharedItems>
    </cacheField>
    <cacheField name="UNITS_MARKET" numFmtId="0">
      <sharedItems containsSemiMixedTypes="0" containsString="0" containsNumber="1" containsInteger="1">
        <n v="0.0"/>
        <n v="387.0"/>
        <n v="2.0"/>
        <n v="273.0"/>
        <n v="313.0"/>
        <n v="211.0"/>
        <n v="7.0"/>
        <n v="29.0"/>
        <n v="9.0"/>
        <n v="263.0"/>
        <n v="304.0"/>
        <n v="70.0"/>
        <n v="357.0"/>
        <n v="237.0"/>
        <n v="589.0"/>
        <n v="251.0"/>
        <n v="174.0"/>
        <n v="325.0"/>
        <n v="399.0"/>
        <n v="622.0"/>
        <n v="155.0"/>
        <n v="420.0"/>
        <n v="55.0"/>
        <n v="344.0"/>
        <n v="394.0"/>
        <n v="50.0"/>
        <n v="301.0"/>
        <n v="5.0"/>
        <n v="18.0"/>
        <n v="136.0"/>
        <n v="26.0"/>
        <n v="473.0"/>
        <n v="39.0"/>
        <n v="106.0"/>
        <n v="122.0"/>
        <n v="27.0"/>
        <n v="156.0"/>
        <n v="10.0"/>
        <n v="51.0"/>
        <n v="16.0"/>
        <n v="17.0"/>
        <n v="74.0"/>
        <n v="125.0"/>
        <n v="231.0"/>
        <n v="4.0"/>
        <n v="283.0"/>
        <n v="352.0"/>
        <n v="215.0"/>
        <n v="40.0"/>
        <n v="292.0"/>
        <n v="331.0"/>
        <n v="12.0"/>
        <n v="13.0"/>
        <n v="11.0"/>
        <n v="24.0"/>
        <n v="43.0"/>
        <n v="64.0"/>
        <n v="56.0"/>
        <n v="85.0"/>
        <n v="1.0"/>
        <n v="99.0"/>
        <n v="14.0"/>
        <n v="66.0"/>
        <n v="8.0"/>
        <n v="91.0"/>
        <n v="6.0"/>
        <n v="296.0"/>
        <n v="327.0"/>
        <n v="22.0"/>
        <n v="69.0"/>
        <n v="286.0"/>
        <n v="317.0"/>
        <n v="291.0"/>
        <n v="35.0"/>
        <n v="59.0"/>
        <n v="37.0"/>
        <n v="23.0"/>
        <n v="3.0"/>
        <n v="307.0"/>
        <n v="443.0"/>
        <n v="300.0"/>
        <n v="32.0"/>
        <n v="45.0"/>
        <n v="25.0"/>
        <n v="15.0"/>
        <n v="118.0"/>
        <n v="61.0"/>
        <n v="183.0"/>
        <n v="184.0"/>
        <n v="19.0"/>
        <n v="20.0"/>
        <n v="36.0"/>
        <n v="95.0"/>
        <n v="100.0"/>
        <n v="210.0"/>
        <n v="124.0"/>
        <n v="276.0"/>
        <n v="21.0"/>
        <n v="33.0"/>
        <n v="44.0"/>
        <n v="410.0"/>
        <n v="624.0"/>
        <n v="460.0"/>
        <n v="280.0"/>
        <n v="262.0"/>
        <n v="89.0"/>
        <n v="142.0"/>
        <n v="224.0"/>
        <n v="81.0"/>
        <n v="285.0"/>
        <n v="41.0"/>
        <n v="47.0"/>
        <n v="30.0"/>
        <n v="34.0"/>
        <n v="232.0"/>
        <n v="166.0"/>
        <n v="319.0"/>
        <n v="382.0"/>
        <n v="311.0"/>
        <n v="516.0"/>
        <n v="182.0"/>
        <n v="679.0"/>
        <n v="402.0"/>
        <n v="38.0"/>
        <n v="530.0"/>
        <n v="265.0"/>
        <n v="148.0"/>
        <n v="42.0"/>
        <n v="293.0"/>
        <n v="145.0"/>
        <n v="305.0"/>
      </sharedItems>
    </cacheField>
    <cacheField name="UNITS_TOTAL" numFmtId="0">
      <sharedItems containsSemiMixedTypes="0" containsString="0" containsNumber="1" containsInteger="1">
        <n v="14.0"/>
        <n v="419.0"/>
        <n v="12.0"/>
        <n v="10.0"/>
        <n v="80.0"/>
        <n v="344.0"/>
        <n v="104.0"/>
        <n v="61.0"/>
        <n v="38.0"/>
        <n v="51.0"/>
        <n v="28.0"/>
        <n v="45.0"/>
        <n v="449.0"/>
        <n v="264.0"/>
        <n v="8.0"/>
        <n v="31.0"/>
        <n v="300.0"/>
        <n v="86.0"/>
        <n v="327.0"/>
        <n v="93.0"/>
        <n v="49.0"/>
        <n v="387.0"/>
        <n v="260.0"/>
        <n v="640.0"/>
        <n v="279.0"/>
        <n v="191.0"/>
        <n v="356.0"/>
        <n v="451.0"/>
        <n v="681.0"/>
        <n v="168.0"/>
        <n v="457.0"/>
        <n v="15.0"/>
        <n v="79.0"/>
        <n v="108.0"/>
        <n v="430.0"/>
        <n v="179.0"/>
        <n v="100.0"/>
        <n v="220.0"/>
        <n v="110.0"/>
        <n v="142.0"/>
        <n v="492.0"/>
        <n v="252.0"/>
        <n v="433.0"/>
        <n v="195.0"/>
        <n v="18.0"/>
        <n v="6.0"/>
        <n v="20.0"/>
        <n v="194.0"/>
        <n v="72.0"/>
        <n v="480.0"/>
        <n v="44.0"/>
        <n v="117.0"/>
        <n v="132.0"/>
        <n v="30.0"/>
        <n v="171.0"/>
        <n v="11.0"/>
        <n v="55.0"/>
        <n v="32.0"/>
        <n v="19.0"/>
        <n v="82.0"/>
        <n v="121.0"/>
        <n v="134.0"/>
        <n v="101.0"/>
        <n v="379.0"/>
        <n v="5.0"/>
        <n v="325.0"/>
        <n v="390.0"/>
        <n v="351.0"/>
        <n v="43.0"/>
        <n v="316.0"/>
        <n v="377.0"/>
        <n v="254.0"/>
        <n v="63.0"/>
        <n v="95.0"/>
        <n v="84.0"/>
        <n v="47.0"/>
        <n v="13.0"/>
        <n v="26.0"/>
        <n v="48.0"/>
        <n v="69.0"/>
        <n v="60.0"/>
        <n v="235.0"/>
        <n v="152.0"/>
        <n v="40.0"/>
        <n v="90.0"/>
        <n v="2.0"/>
        <n v="166.0"/>
        <n v="107.0"/>
        <n v="16.0"/>
        <n v="78.0"/>
        <n v="92.0"/>
        <n v="41.0"/>
        <n v="112.0"/>
        <n v="65.0"/>
        <n v="106.0"/>
        <n v="7.0"/>
        <n v="54.0"/>
        <n v="87.0"/>
        <n v="27.0"/>
        <n v="9.0"/>
        <n v="157.0"/>
        <n v="315.0"/>
        <n v="353.0"/>
        <n v="24.0"/>
        <n v="74.0"/>
        <n v="312.0"/>
        <n v="323.0"/>
        <n v="358.0"/>
        <n v="190.0"/>
        <n v="395.0"/>
        <n v="42.0"/>
        <n v="125.0"/>
        <n v="3.0"/>
        <n v="81.0"/>
        <n v="332.0"/>
        <n v="29.0"/>
        <n v="46.0"/>
        <n v="561.0"/>
        <n v="4.0"/>
        <n v="222.0"/>
        <n v="36.0"/>
        <n v="35.0"/>
        <n v="66.0"/>
        <n v="136.0"/>
        <n v="88.0"/>
        <n v="197.0"/>
        <n v="169.0"/>
        <n v="148.0"/>
        <n v="263.0"/>
        <n v="22.0"/>
        <n v="39.0"/>
        <n v="17.0"/>
        <n v="130.0"/>
        <n v="394.0"/>
        <n v="109.0"/>
        <n v="248.0"/>
        <n v="156.0"/>
        <n v="76.0"/>
        <n v="37.0"/>
        <n v="50.0"/>
        <n v="447.0"/>
        <n v="689.0"/>
        <n v="25.0"/>
        <n v="501.0"/>
        <n v="321.0"/>
        <n v="317.0"/>
        <n v="159.0"/>
        <n v="212.0"/>
        <n v="243.0"/>
        <n v="115.0"/>
        <n v="310.0"/>
        <n v="53.0"/>
        <n v="70.0"/>
        <n v="124.0"/>
        <n v="77.0"/>
        <n v="96.0"/>
        <n v="23.0"/>
        <n v="127.0"/>
        <n v="21.0"/>
        <n v="118.0"/>
        <n v="71.0"/>
        <n v="33.0"/>
        <n v="250.0"/>
        <n v="182.0"/>
        <n v="262.0"/>
        <n v="478.0"/>
        <n v="384.0"/>
        <n v="337.0"/>
        <n v="562.0"/>
        <n v="757.0"/>
        <n v="34.0"/>
        <n v="350.0"/>
        <n v="437.0"/>
        <n v="165.0"/>
        <n v="145.0"/>
        <n v="577.0"/>
        <n v="290.0"/>
        <n v="158.0"/>
        <n v="189.0"/>
      </sharedItems>
    </cacheField>
    <cacheField name="CONSTRUCTION_END_DATE" numFmtId="0">
      <sharedItems containsBlank="1">
        <s v="2020/07/23 00:00:00+00"/>
        <s v="2020/01/01 00:00:00+00"/>
        <s v="2020/12/09 00:00:00+00"/>
        <s v="2023/09/18 00:00:00+00"/>
        <s v="2020/05/20 00:00:00+00"/>
        <s v="2022/01/18 00:00:00+00"/>
        <s v="2021/02/03 00:00:00+00"/>
        <s v="2021/01/14 00:00:00+00"/>
        <s v="2021/11/22 00:00:00+00"/>
        <s v="2022/11/30 00:00:00+00"/>
        <s v="2023/08/07 00:00:00+00"/>
        <s v="2021/11/23 00:00:00+00"/>
        <s v="2024/01/05 00:00:00+00"/>
        <s v="2020/09/17 00:00:00+00"/>
        <s v="2023/01/05 00:00:00+00"/>
        <s v="2020/11/17 00:00:00+00"/>
        <s v="2020/07/07 00:00:00+00"/>
        <s v="2022/11/02 00:00:00+00"/>
        <s v="2021/11/29 00:00:00+00"/>
        <s v="2021/10/15 00:00:00+00"/>
        <s v="2022/04/18 00:00:00+00"/>
        <s v="2024/10/31 00:00:00+00"/>
        <s v="2021/12/01 00:00:00+00"/>
        <s v="2022/01/28 00:00:00+00"/>
        <s v="2020/09/25 00:00:00+00"/>
        <s v="2022/08/29 00:00:00+00"/>
        <s v="2021/07/27 00:00:00+00"/>
        <s v="2023/07/28 00:00:00+00"/>
        <s v="2021/05/01 00:00:00+00"/>
        <s v="2022/01/31 00:00:00+00"/>
        <s v="2021/09/21 00:00:00+00"/>
        <s v="2020/05/21 00:00:00+00"/>
        <s v="2022/09/30 00:00:00+00"/>
        <s v="2022/08/22 00:00:00+00"/>
        <s v="2023/01/30 00:00:00+00"/>
        <s v="2024/09/30 00:00:00+00"/>
        <s v="2024/09/09 00:00:00+00"/>
        <s v="2021/01/25 00:00:00+00"/>
        <s v="2023/01/27 00:00:00+00"/>
        <s v="2022/07/15 00:00:00+00"/>
        <s v="2024/02/01 00:00:00+00"/>
        <s v="2025/08/01 00:00:00+00"/>
        <s v="2023/01/12 00:00:00+00"/>
        <s v="2021/01/22 00:00:00+00"/>
        <s v="2020/05/07 00:00:00+00"/>
        <s v="2020/10/13 00:00:00+00"/>
        <s v="2025/12/10 00:00:00+00"/>
        <s v="2023/04/28 00:00:00+00"/>
        <s v="2023/12/01 00:00:00+00"/>
        <s v="2020/08/19 00:00:00+00"/>
        <s v="2025/10/01 00:00:00+00"/>
        <s v="2020/07/09 00:00:00+00"/>
        <s v="2021/05/26 00:00:00+00"/>
        <s v="2020/09/09 00:00:00+00"/>
        <s v="2021/09/15 00:00:00+00"/>
        <s v="2020/12/18 00:00:00+00"/>
        <s v="2020/07/24 00:00:00+00"/>
        <m/>
        <s v="2020/12/04 00:00:00+00"/>
        <s v="2020/08/07 00:00:00+00"/>
        <s v="2020/12/23 00:00:00+00"/>
        <s v="2020/04/03 00:00:00+00"/>
        <s v="2020/12/22 00:00:00+00"/>
        <s v="2022/04/29 00:00:00+00"/>
        <s v="2022/03/01 00:00:00+00"/>
        <s v="2021/12/17 00:00:00+00"/>
        <s v="2022/07/29 00:00:00+00"/>
        <s v="2022/02/23 00:00:00+00"/>
        <s v="2021/07/01 00:00:00+00"/>
        <s v="2020/10/01 00:00:00+00"/>
        <s v="2024/04/25 00:00:00+00"/>
        <s v="2020/07/28 00:00:00+00"/>
        <s v="2023/04/12 00:00:00+00"/>
        <s v="2023/07/14 00:00:00+00"/>
        <s v="2020/10/06 00:00:00+00"/>
        <s v="2021/02/26 00:00:00+00"/>
        <s v="2021/09/01 00:00:00+00"/>
        <s v="2020/09/10 00:00:00+00"/>
        <s v="2020/12/21 00:00:00+00"/>
        <s v="2022/08/03 00:00:00+00"/>
        <s v="2024/01/17 00:00:00+00"/>
        <s v="2021/12/30 00:00:00+00"/>
        <s v="2021/04/06 00:00:00+00"/>
        <s v="2025/01/21 00:00:00+00"/>
        <s v="2020/11/18 00:00:00+00"/>
        <s v="2021/09/30 00:00:00+00"/>
        <s v="2020/12/16 00:00:00+00"/>
        <s v="2020/07/01 00:00:00+00"/>
        <s v="2021/09/14 00:00:00+00"/>
        <s v="2020/08/20 00:00:00+00"/>
        <s v="2022/03/21 00:00:00+00"/>
        <s v="2020/03/24 00:00:00+00"/>
        <s v="2020/05/22 00:00:00+00"/>
        <s v="2021/05/05 00:00:00+00"/>
        <s v="2022/05/31 00:00:00+00"/>
        <s v="2023/03/31 00:00:00+00"/>
        <s v="2020/06/18 00:00:00+00"/>
        <s v="2022/03/07 00:00:00+00"/>
        <s v="2024/08/29 00:00:00+00"/>
        <s v="2020/10/30 00:00:00+00"/>
        <s v="2020/06/25 00:00:00+00"/>
        <s v="2020/11/25 00:00:00+00"/>
        <s v="2021/12/21 00:00:00+00"/>
        <s v="2020/01/24 00:00:00+00"/>
        <s v="2024/08/07 00:00:00+00"/>
        <s v="2022/09/29 00:00:00+00"/>
        <s v="2021/04/07 00:00:00+00"/>
        <s v="2022/11/22 00:00:00+00"/>
        <s v="2022/06/28 00:00:00+00"/>
        <s v="2021/10/23 00:00:00+00"/>
        <s v="2021/06/01 00:00:00+00"/>
        <s v="2022/02/15 00:00:00+00"/>
        <s v="2022/12/13 00:00:00+00"/>
        <s v="2022/04/04 00:00:00+00"/>
        <s v="2022/06/23 00:00:00+00"/>
        <s v="2023/03/27 00:00:00+00"/>
        <s v="2021/01/12 00:00:00+00"/>
        <s v="2022/12/08 00:00:00+00"/>
        <s v="2021/03/29 00:00:00+00"/>
        <s v="2021/09/07 00:00:00+00"/>
        <s v="2024/03/29 00:00:00+00"/>
        <s v="2022/03/24 00:00:00+00"/>
        <s v="2023/12/15 00:00:00+00"/>
        <s v="2022/05/10 00:00:00+00"/>
        <s v="2022/09/19 00:00:00+00"/>
        <s v="2022/08/17 00:00:00+00"/>
        <s v="2025/02/04 00:00:00+00"/>
        <s v="2023/03/07 00:00:00+00"/>
        <s v="2025/05/29 00:00:00+00"/>
        <s v="2022/06/13 00:00:00+00"/>
        <s v="2023/01/20 00:00:00+00"/>
        <s v="2024/04/18 00:00:00+00"/>
        <s v="2022/08/12 00:00:00+00"/>
        <s v="2022/04/12 00:00:00+00"/>
        <s v="2023/03/16 00:00:00+00"/>
        <s v="2022/12/29 00:00:00+00"/>
        <s v="2020/03/12 00:00:00+00"/>
        <s v="2020/03/18 00:00:00+00"/>
        <s v="2020/09/03 00:00:00+00"/>
        <s v="2022/11/07 00:00:00+00"/>
        <s v="2023/04/01 00:00:00+00"/>
        <s v="2022/07/11 00:00:00+00"/>
        <s v="2023/02/15 00:00:00+00"/>
        <s v="2021/12/15 00:00:00+00"/>
        <s v="2022/12/02 00:00:00+00"/>
        <s v="2021/06/18 00:00:00+00"/>
        <s v="2022/10/13 00:00:00+00"/>
        <s v="2021/09/24 00:00:00+00"/>
        <s v="2022/01/05 00:00:00+00"/>
        <s v="2023/01/04 00:00:00+00"/>
        <s v="2021/04/27 00:00:00+00"/>
        <s v="2022/04/06 00:00:00+00"/>
        <s v="2024/06/12 00:00:00+00"/>
        <s v="2024/07/31 00:00:00+00"/>
        <s v="2022/05/11 00:00:00+00"/>
        <s v="2021/10/22 00:00:00+00"/>
        <s v="2023/12/21 00:00:00+00"/>
        <s v="2024/11/21 00:00:00+00"/>
        <s v="2023/11/09 00:00:00+00"/>
        <s v="2024/08/19 00:00:00+00"/>
        <s v="2023/06/01 00:00:00+00"/>
        <s v="2024/07/24 00:00:00+00"/>
        <s v="2023/10/20 00:00:00+00"/>
        <s v="2023/09/21 00:00:00+00"/>
        <s v="2025/01/13 00:00:00+00"/>
        <s v="2023/08/22 00:00:00+00"/>
        <s v="2023/08/17 00:00:00+00"/>
        <s v="2022/07/08 00:00:00+00"/>
        <s v="2023/01/19 00:00:00+00"/>
        <s v="2022/06/06 00:00:00+00"/>
        <s v="2023/10/11 00:00:00+00"/>
        <s v="2024/01/12 00:00:00+00"/>
        <s v="2024/05/31 00:00:00+00"/>
        <s v="2024/07/25 00:00:00+00"/>
        <s v="2023/10/16 00:00:00+00"/>
        <s v="2025/01/29 00:00:00+00"/>
        <s v="2024/06/18 00:00:00+00"/>
        <s v="2025/09/02 00:00:00+00"/>
        <s v="2023/02/24 00:00:00+00"/>
        <s v="2025/03/13 00:00:00+00"/>
        <s v="2025/04/14 00:00:00+00"/>
        <s v="2022/12/27 00:00:00+00"/>
        <s v="2023/08/08 00:00:00+00"/>
        <s v="2023/08/29 00:00:00+00"/>
        <s v="2024/01/08 00:00:00+00"/>
        <s v="2023/08/16 00:00:00+00"/>
        <s v="2023/12/29 00:00:00+00"/>
        <s v="2024/03/12 00:00:00+00"/>
        <s v="2022/04/25 00:00:00+00"/>
        <s v="2024/03/14 00:00:00+00"/>
        <s v="2025/02/26 00:00:00+00"/>
        <s v="2020/06/29 00:00:00+00"/>
        <s v="2025/05/13 00:00:00+00"/>
        <s v="2024/06/26 00:00:00+00"/>
        <s v="2024/08/02 00:00:00+00"/>
        <s v="2021/03/31 00:00:00+00"/>
        <s v="2022/09/01 00:00:00+00"/>
        <s v="2021/05/12 00:00:00+00"/>
        <s v="2023/05/18 00:00:00+00"/>
        <s v="2025/12/08 00:00:00+00"/>
        <s v="2025/12/15 00:00:00+00"/>
        <s v="2024/12/26 00:00:00+00"/>
        <s v="2025/07/18 00:00:00+00"/>
        <s v="2024/07/08 00:00:00+00"/>
        <s v="2022/05/18 00:00:00+00"/>
        <s v="2025/09/24 00:00:00+00"/>
        <s v="2024/07/29 00:00:00+00"/>
        <s v="2025/04/04 00:00:00+00"/>
        <s v="2023/07/05 00:00:00+00"/>
        <s v="2023/03/02 00:00:00+00"/>
        <s v="2024/08/16 00:00:00+00"/>
        <s v="2023/01/31 00:00:00+00"/>
        <s v="2025/06/02 00:00:00+00"/>
        <s v="2024/04/03 00:00:00+00"/>
        <s v="2023/08/03 00:00:00+00"/>
        <s v="2021/08/20 00:00:00+00"/>
        <s v="2024/05/09 00:00:00+00"/>
        <s v="2024/04/29 00:00:00+00"/>
        <s v="2023/08/28 00:00:00+00"/>
        <s v="2021/12/23 00:00:00+00"/>
        <s v="2024/09/24 00:00:00+00"/>
        <s v="2022/03/18 00:00:00+00"/>
        <s v="2025/02/03 00:00:00+00"/>
        <s v="2025/08/20 00:00:00+00"/>
        <s v="2024/10/15 00:00:00+00"/>
        <s v="2023/08/21 00:00:00+00"/>
        <s v="2025/03/26 00:00:00+00"/>
        <s v="2022/08/30 00:00:00+00"/>
        <s v="2025/07/01 00:00:00+00"/>
        <s v="2023/07/26 00:00:00+00"/>
        <s v="2024/12/29 00:00:00+00"/>
        <s v="2024/05/01 00:00:00+00"/>
        <s v="2022/04/27 00:00:00+00"/>
        <s v="2023/01/17 00:00:00+00"/>
        <s v="2021/07/29 00:00:00+00"/>
        <s v="2025/01/14 00:00:00+00"/>
        <s v="2022/05/24 00:00:00+00"/>
        <s v="2024/12/16 00:00:00+00"/>
        <s v="2020/02/19 00:00:00+00"/>
        <s v="2024/08/13 00:00:00+00"/>
        <s v="2024/11/08 00:00:00+00"/>
        <s v="2024/08/01 00:00:00+00"/>
        <s v="2024/02/20 00:00:00+00"/>
        <s v="2024/10/22 00:00:00+00"/>
        <s v="2024/08/12 00:00:00+00"/>
        <s v="2024/01/11 00:00:00+00"/>
        <s v="2023/11/08 00:00:00+00"/>
        <s v="2020/08/25 00:00:00+00"/>
        <s v="2021/09/29 00:00:00+00"/>
        <s v="2020/09/22 00:00:00+00"/>
        <s v="2022/03/29 00:00:00+00"/>
        <s v="2022/08/04 00:00:00+00"/>
        <s v="2020/07/22 00:00:00+00"/>
        <s v="2024/01/02 00:00:00+00"/>
        <s v="2024/01/03 00:00:00+00"/>
        <s v="2025/10/15 00:00:00+00"/>
        <s v="2023/03/30 00:00:00+00"/>
        <s v="2025/06/16 00:00:00+00"/>
        <s v="2024/10/30 00:00:00+00"/>
        <s v="2020/03/19 00:00:00+00"/>
        <s v="2020/03/11 00:00:00+00"/>
        <s v="2021/10/21 00:00:00+00"/>
        <s v="2020/02/10 00:00:00+00"/>
        <s v="2020/06/04 00:00:00+00"/>
        <s v="2020/04/28 00:00:00+00"/>
        <s v="2021/12/10 00:00:00+00"/>
        <s v="2024/09/20 00:00:00+00"/>
        <s v="2020/12/17 00:00:00+00"/>
        <s v="2025/09/01 00:00:00+00"/>
        <s v="2025/01/07 00:00:00+00"/>
        <s v="2025/03/01 00:00:00+00"/>
        <s v="2025/05/28 00:00:00+00"/>
        <s v="2022/08/24 00:00:00+00"/>
        <s v="2024/09/25 00:00:00+00"/>
        <s v="2022/10/27 00:00:00+00"/>
        <s v="2024/09/12 00:00:00+00"/>
        <s v="2025/01/31 00:00:00+00"/>
        <s v="2025/05/01 00:00:00+00"/>
        <s v="2023/11/03 00:00:00+00"/>
        <s v="2024/12/20 00:00:00+00"/>
        <s v="2022/10/05 00:00:00+00"/>
        <s v="2024/08/06 00:00:00+00"/>
        <s v="2024/12/11 00:00:00+00"/>
        <s v="2024/10/25 00:00:00+00"/>
        <s v="2025/05/23 00:00:00+00"/>
        <s v="2022/11/23 00:00:00+00"/>
        <s v="2022/11/16 00:00:00+00"/>
        <s v="2022/12/15 00:00:00+00"/>
        <s v="2025/10/26 00:00:00+00"/>
        <s v="2025/07/29 00:00:00+00"/>
        <s v="2023/04/03 00:00:00+00"/>
        <s v="2022/12/16 00:00:00+00"/>
        <s v="2024/08/23 00:00:00+00"/>
        <s v="2024/12/09 00:00:00+00"/>
        <s v="2025/03/11 00:00:00+00"/>
        <s v="2024/09/10 00:00:00+00"/>
        <s v="2025/12/19 00:00:00+00"/>
        <s v="2022/10/07 00:00:00+00"/>
        <s v="2024/06/05 00:00:00+00"/>
        <s v="2023/05/31 00:00:00+00"/>
        <s v="2023/05/25 00:00:00+00"/>
        <s v="2022/12/21 00:00:00+00"/>
        <s v="2023/07/11 00:00:00+00"/>
        <s v="2025/08/12 00:00:00+00"/>
        <s v="2025/10/08 00:00:00+00"/>
        <s v="2025/10/02 00:00:00+00"/>
        <s v="2025/08/26 00:00:00+00"/>
        <s v="2020/12/24 00:00:00+00"/>
        <s v="2025/09/05 00:00:00+00"/>
        <s v="2023/08/24 00:00:00+00"/>
        <s v="2023/03/01 00:00:00+00"/>
        <s v="2024/03/20 00:00:00+00"/>
        <s v="2021/04/12 00:00:00+00"/>
        <s v="2023/12/27 00:00:00+0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truction end date vs. new u" cacheId="0" dataCaption="" compact="0" compactData="0">
  <location ref="A1:B316" firstHeaderRow="0" firstDataRow="1" firstDataCol="0"/>
  <pivotFields>
    <pivotField name="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name="MAR_WAR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name="STATUS_PUBLIC" compact="0" outline="0" multipleItemSelectionAllowed="1" showAll="0">
      <items>
        <item x="0"/>
        <item x="1"/>
        <item t="default"/>
      </items>
    </pivotField>
    <pivotField name="AGENCY_CALCUL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_AFFORDABLE_UN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AFFORDABLE_UNITS_AT_0_3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FFORDABLE_UNITS_AT_31_5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FFORDABLE_UNITS_AT_51_6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AFFORDABLE_UNITS_AT_61_8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FFORDABLE_UNITS_AT_81_AMI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A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X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t="default"/>
      </items>
    </pivotField>
    <pivotField name="Y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FULL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GIS_LAST_MOD_DTTM" compact="0" outline="0" multipleItemSelectionAllowed="1" showAll="0">
      <items>
        <item x="0"/>
        <item t="default"/>
      </items>
    </pivotField>
    <pivotField name="AFFORDABLE_UNITS_PRESER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UNITS_NEWLY_COVENANT_EXIS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FFORDABLE_UNIT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UNITS_NET_NE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UNITS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UNIT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CONSTRUCTION_END_DATE" axis="axisRow" compact="0" outline="0" multipleItemSelectionAllowed="1" showAll="0" sortType="ascending">
      <items>
        <item x="57"/>
        <item x="1"/>
        <item x="103"/>
        <item x="262"/>
        <item x="238"/>
        <item x="260"/>
        <item x="136"/>
        <item x="137"/>
        <item x="259"/>
        <item x="91"/>
        <item x="61"/>
        <item x="264"/>
        <item x="44"/>
        <item x="4"/>
        <item x="31"/>
        <item x="92"/>
        <item x="263"/>
        <item x="96"/>
        <item x="100"/>
        <item x="191"/>
        <item x="87"/>
        <item x="16"/>
        <item x="51"/>
        <item x="252"/>
        <item x="0"/>
        <item x="56"/>
        <item x="71"/>
        <item x="59"/>
        <item x="49"/>
        <item x="89"/>
        <item x="247"/>
        <item x="138"/>
        <item x="53"/>
        <item x="77"/>
        <item x="13"/>
        <item x="249"/>
        <item x="24"/>
        <item x="69"/>
        <item x="74"/>
        <item x="45"/>
        <item x="99"/>
        <item x="15"/>
        <item x="84"/>
        <item x="101"/>
        <item x="58"/>
        <item x="2"/>
        <item x="86"/>
        <item x="267"/>
        <item x="55"/>
        <item x="78"/>
        <item x="62"/>
        <item x="60"/>
        <item x="307"/>
        <item x="116"/>
        <item x="7"/>
        <item x="43"/>
        <item x="37"/>
        <item x="6"/>
        <item x="75"/>
        <item x="118"/>
        <item x="195"/>
        <item x="82"/>
        <item x="106"/>
        <item x="312"/>
        <item x="150"/>
        <item x="28"/>
        <item x="93"/>
        <item x="197"/>
        <item x="52"/>
        <item x="110"/>
        <item x="145"/>
        <item x="68"/>
        <item x="26"/>
        <item x="234"/>
        <item x="215"/>
        <item x="76"/>
        <item x="119"/>
        <item x="88"/>
        <item x="54"/>
        <item x="30"/>
        <item x="147"/>
        <item x="248"/>
        <item x="85"/>
        <item x="19"/>
        <item x="261"/>
        <item x="155"/>
        <item x="109"/>
        <item x="8"/>
        <item x="11"/>
        <item x="18"/>
        <item x="22"/>
        <item x="265"/>
        <item x="143"/>
        <item x="65"/>
        <item x="102"/>
        <item x="219"/>
        <item x="81"/>
        <item x="148"/>
        <item x="5"/>
        <item x="23"/>
        <item x="29"/>
        <item x="111"/>
        <item x="67"/>
        <item x="64"/>
        <item x="97"/>
        <item x="221"/>
        <item x="90"/>
        <item x="121"/>
        <item x="250"/>
        <item x="113"/>
        <item x="151"/>
        <item x="133"/>
        <item x="20"/>
        <item x="188"/>
        <item x="232"/>
        <item x="63"/>
        <item x="123"/>
        <item x="154"/>
        <item x="204"/>
        <item x="236"/>
        <item x="94"/>
        <item x="169"/>
        <item x="129"/>
        <item x="114"/>
        <item x="108"/>
        <item x="167"/>
        <item x="141"/>
        <item x="39"/>
        <item x="66"/>
        <item x="79"/>
        <item x="251"/>
        <item x="132"/>
        <item x="125"/>
        <item x="33"/>
        <item x="272"/>
        <item x="25"/>
        <item x="227"/>
        <item x="196"/>
        <item x="124"/>
        <item x="105"/>
        <item x="32"/>
        <item x="280"/>
        <item x="297"/>
        <item x="146"/>
        <item x="274"/>
        <item x="17"/>
        <item x="139"/>
        <item x="286"/>
        <item x="107"/>
        <item x="285"/>
        <item x="9"/>
        <item x="144"/>
        <item x="117"/>
        <item x="112"/>
        <item x="287"/>
        <item x="291"/>
        <item x="301"/>
        <item x="181"/>
        <item x="135"/>
        <item x="149"/>
        <item x="14"/>
        <item x="42"/>
        <item x="233"/>
        <item x="168"/>
        <item x="130"/>
        <item x="38"/>
        <item x="34"/>
        <item x="211"/>
        <item x="142"/>
        <item x="178"/>
        <item x="310"/>
        <item x="209"/>
        <item x="127"/>
        <item x="134"/>
        <item x="115"/>
        <item x="256"/>
        <item x="95"/>
        <item x="140"/>
        <item x="290"/>
        <item x="72"/>
        <item x="47"/>
        <item x="198"/>
        <item x="300"/>
        <item x="299"/>
        <item x="160"/>
        <item x="208"/>
        <item x="302"/>
        <item x="73"/>
        <item x="229"/>
        <item x="27"/>
        <item x="214"/>
        <item x="10"/>
        <item x="182"/>
        <item x="185"/>
        <item x="166"/>
        <item x="225"/>
        <item x="165"/>
        <item x="309"/>
        <item x="218"/>
        <item x="183"/>
        <item x="3"/>
        <item x="163"/>
        <item x="170"/>
        <item x="174"/>
        <item x="162"/>
        <item x="278"/>
        <item x="246"/>
        <item x="158"/>
        <item x="48"/>
        <item x="122"/>
        <item x="156"/>
        <item x="313"/>
        <item x="186"/>
        <item x="253"/>
        <item x="254"/>
        <item x="12"/>
        <item x="184"/>
        <item x="245"/>
        <item x="171"/>
        <item x="80"/>
        <item x="40"/>
        <item x="242"/>
        <item x="187"/>
        <item x="189"/>
        <item x="311"/>
        <item x="120"/>
        <item x="213"/>
        <item x="131"/>
        <item x="70"/>
        <item x="217"/>
        <item x="231"/>
        <item x="216"/>
        <item x="172"/>
        <item x="298"/>
        <item x="152"/>
        <item x="176"/>
        <item x="193"/>
        <item x="203"/>
        <item x="161"/>
        <item x="173"/>
        <item x="206"/>
        <item x="153"/>
        <item x="241"/>
        <item x="194"/>
        <item x="281"/>
        <item x="104"/>
        <item x="244"/>
        <item x="239"/>
        <item x="210"/>
        <item x="159"/>
        <item x="292"/>
        <item x="98"/>
        <item x="36"/>
        <item x="295"/>
        <item x="275"/>
        <item x="266"/>
        <item x="220"/>
        <item x="273"/>
        <item x="35"/>
        <item x="224"/>
        <item x="243"/>
        <item x="283"/>
        <item x="258"/>
        <item x="21"/>
        <item x="240"/>
        <item x="157"/>
        <item x="293"/>
        <item x="282"/>
        <item x="237"/>
        <item x="279"/>
        <item x="201"/>
        <item x="230"/>
        <item x="269"/>
        <item x="164"/>
        <item x="235"/>
        <item x="83"/>
        <item x="175"/>
        <item x="276"/>
        <item x="222"/>
        <item x="126"/>
        <item x="190"/>
        <item x="270"/>
        <item x="294"/>
        <item x="179"/>
        <item x="226"/>
        <item x="207"/>
        <item x="180"/>
        <item x="277"/>
        <item x="192"/>
        <item x="284"/>
        <item x="271"/>
        <item x="128"/>
        <item x="212"/>
        <item x="257"/>
        <item x="228"/>
        <item x="202"/>
        <item x="289"/>
        <item x="41"/>
        <item x="303"/>
        <item x="223"/>
        <item x="306"/>
        <item x="268"/>
        <item x="177"/>
        <item x="308"/>
        <item x="205"/>
        <item x="50"/>
        <item x="305"/>
        <item x="304"/>
        <item x="255"/>
        <item x="288"/>
        <item x="199"/>
        <item x="46"/>
        <item x="200"/>
        <item x="296"/>
        <item t="default"/>
      </items>
    </pivotField>
  </pivotFields>
  <rowFields>
    <field x="28"/>
  </rowFields>
  <dataFields>
    <dataField name="SUM of UNITS_NET_NEW" fld="25" baseField="0"/>
  </dataFields>
</pivotTableDefinition>
</file>

<file path=xl/pivotTables/pivotTable2.xml><?xml version="1.0" encoding="utf-8"?>
<pivotTableDefinition xmlns="http://schemas.openxmlformats.org/spreadsheetml/2006/main" name="Construction end date vs. sum o" cacheId="0" dataCaption="" compact="0" compactData="0">
  <location ref="A1:B316" firstHeaderRow="0" firstDataRow="1" firstDataCol="0"/>
  <pivotFields>
    <pivotField name="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OBJE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name="MAR_WAR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PROJE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name="STATUS_PUBLIC" compact="0" outline="0" multipleItemSelectionAllowed="1" showAll="0">
      <items>
        <item x="0"/>
        <item x="1"/>
        <item t="default"/>
      </items>
    </pivotField>
    <pivotField name="AGENCY_CALCUL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OTAL_AFFORDABLE_UNI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AFFORDABLE_UNITS_AT_0_3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AFFORDABLE_UNITS_AT_31_5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AFFORDABLE_UNITS_AT_51_6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AFFORDABLE_UNITS_AT_61_80_A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AFFORDABLE_UNITS_AT_81_AMI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MA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X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t="default"/>
      </items>
    </pivotField>
    <pivotField name="YCOO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FULL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GIS_LAST_MOD_DTTM" compact="0" outline="0" multipleItemSelectionAllowed="1" showAll="0">
      <items>
        <item x="0"/>
        <item t="default"/>
      </items>
    </pivotField>
    <pivotField name="AFFORDABLE_UNITS_PRESER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UNITS_NEWLY_COVENANT_EXIS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FFORDABLE_UNITS_PRODU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UNITS_NET_NEW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UNITS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UNITS_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CONSTRUCTION_END_DATE" axis="axisRow" compact="0" outline="0" multipleItemSelectionAllowed="1" showAll="0" sortType="ascending">
      <items>
        <item x="57"/>
        <item x="1"/>
        <item x="103"/>
        <item x="262"/>
        <item x="238"/>
        <item x="260"/>
        <item x="136"/>
        <item x="137"/>
        <item x="259"/>
        <item x="91"/>
        <item x="61"/>
        <item x="264"/>
        <item x="44"/>
        <item x="4"/>
        <item x="31"/>
        <item x="92"/>
        <item x="263"/>
        <item x="96"/>
        <item x="100"/>
        <item x="191"/>
        <item x="87"/>
        <item x="16"/>
        <item x="51"/>
        <item x="252"/>
        <item x="0"/>
        <item x="56"/>
        <item x="71"/>
        <item x="59"/>
        <item x="49"/>
        <item x="89"/>
        <item x="247"/>
        <item x="138"/>
        <item x="53"/>
        <item x="77"/>
        <item x="13"/>
        <item x="249"/>
        <item x="24"/>
        <item x="69"/>
        <item x="74"/>
        <item x="45"/>
        <item x="99"/>
        <item x="15"/>
        <item x="84"/>
        <item x="101"/>
        <item x="58"/>
        <item x="2"/>
        <item x="86"/>
        <item x="267"/>
        <item x="55"/>
        <item x="78"/>
        <item x="62"/>
        <item x="60"/>
        <item x="307"/>
        <item x="116"/>
        <item x="7"/>
        <item x="43"/>
        <item x="37"/>
        <item x="6"/>
        <item x="75"/>
        <item x="118"/>
        <item x="195"/>
        <item x="82"/>
        <item x="106"/>
        <item x="312"/>
        <item x="150"/>
        <item x="28"/>
        <item x="93"/>
        <item x="197"/>
        <item x="52"/>
        <item x="110"/>
        <item x="145"/>
        <item x="68"/>
        <item x="26"/>
        <item x="234"/>
        <item x="215"/>
        <item x="76"/>
        <item x="119"/>
        <item x="88"/>
        <item x="54"/>
        <item x="30"/>
        <item x="147"/>
        <item x="248"/>
        <item x="85"/>
        <item x="19"/>
        <item x="261"/>
        <item x="155"/>
        <item x="109"/>
        <item x="8"/>
        <item x="11"/>
        <item x="18"/>
        <item x="22"/>
        <item x="265"/>
        <item x="143"/>
        <item x="65"/>
        <item x="102"/>
        <item x="219"/>
        <item x="81"/>
        <item x="148"/>
        <item x="5"/>
        <item x="23"/>
        <item x="29"/>
        <item x="111"/>
        <item x="67"/>
        <item x="64"/>
        <item x="97"/>
        <item x="221"/>
        <item x="90"/>
        <item x="121"/>
        <item x="250"/>
        <item x="113"/>
        <item x="151"/>
        <item x="133"/>
        <item x="20"/>
        <item x="188"/>
        <item x="232"/>
        <item x="63"/>
        <item x="123"/>
        <item x="154"/>
        <item x="204"/>
        <item x="236"/>
        <item x="94"/>
        <item x="169"/>
        <item x="129"/>
        <item x="114"/>
        <item x="108"/>
        <item x="167"/>
        <item x="141"/>
        <item x="39"/>
        <item x="66"/>
        <item x="79"/>
        <item x="251"/>
        <item x="132"/>
        <item x="125"/>
        <item x="33"/>
        <item x="272"/>
        <item x="25"/>
        <item x="227"/>
        <item x="196"/>
        <item x="124"/>
        <item x="105"/>
        <item x="32"/>
        <item x="280"/>
        <item x="297"/>
        <item x="146"/>
        <item x="274"/>
        <item x="17"/>
        <item x="139"/>
        <item x="286"/>
        <item x="107"/>
        <item x="285"/>
        <item x="9"/>
        <item x="144"/>
        <item x="117"/>
        <item x="112"/>
        <item x="287"/>
        <item x="291"/>
        <item x="301"/>
        <item x="181"/>
        <item x="135"/>
        <item x="149"/>
        <item x="14"/>
        <item x="42"/>
        <item x="233"/>
        <item x="168"/>
        <item x="130"/>
        <item x="38"/>
        <item x="34"/>
        <item x="211"/>
        <item x="142"/>
        <item x="178"/>
        <item x="310"/>
        <item x="209"/>
        <item x="127"/>
        <item x="134"/>
        <item x="115"/>
        <item x="256"/>
        <item x="95"/>
        <item x="140"/>
        <item x="290"/>
        <item x="72"/>
        <item x="47"/>
        <item x="198"/>
        <item x="300"/>
        <item x="299"/>
        <item x="160"/>
        <item x="208"/>
        <item x="302"/>
        <item x="73"/>
        <item x="229"/>
        <item x="27"/>
        <item x="214"/>
        <item x="10"/>
        <item x="182"/>
        <item x="185"/>
        <item x="166"/>
        <item x="225"/>
        <item x="165"/>
        <item x="309"/>
        <item x="218"/>
        <item x="183"/>
        <item x="3"/>
        <item x="163"/>
        <item x="170"/>
        <item x="174"/>
        <item x="162"/>
        <item x="278"/>
        <item x="246"/>
        <item x="158"/>
        <item x="48"/>
        <item x="122"/>
        <item x="156"/>
        <item x="313"/>
        <item x="186"/>
        <item x="253"/>
        <item x="254"/>
        <item x="12"/>
        <item x="184"/>
        <item x="245"/>
        <item x="171"/>
        <item x="80"/>
        <item x="40"/>
        <item x="242"/>
        <item x="187"/>
        <item x="189"/>
        <item x="311"/>
        <item x="120"/>
        <item x="213"/>
        <item x="131"/>
        <item x="70"/>
        <item x="217"/>
        <item x="231"/>
        <item x="216"/>
        <item x="172"/>
        <item x="298"/>
        <item x="152"/>
        <item x="176"/>
        <item x="193"/>
        <item x="203"/>
        <item x="161"/>
        <item x="173"/>
        <item x="206"/>
        <item x="153"/>
        <item x="241"/>
        <item x="194"/>
        <item x="281"/>
        <item x="104"/>
        <item x="244"/>
        <item x="239"/>
        <item x="210"/>
        <item x="159"/>
        <item x="292"/>
        <item x="98"/>
        <item x="36"/>
        <item x="295"/>
        <item x="275"/>
        <item x="266"/>
        <item x="220"/>
        <item x="273"/>
        <item x="35"/>
        <item x="224"/>
        <item x="243"/>
        <item x="283"/>
        <item x="258"/>
        <item x="21"/>
        <item x="240"/>
        <item x="157"/>
        <item x="293"/>
        <item x="282"/>
        <item x="237"/>
        <item x="279"/>
        <item x="201"/>
        <item x="230"/>
        <item x="269"/>
        <item x="164"/>
        <item x="235"/>
        <item x="83"/>
        <item x="175"/>
        <item x="276"/>
        <item x="222"/>
        <item x="126"/>
        <item x="190"/>
        <item x="270"/>
        <item x="294"/>
        <item x="179"/>
        <item x="226"/>
        <item x="207"/>
        <item x="180"/>
        <item x="277"/>
        <item x="192"/>
        <item x="284"/>
        <item x="271"/>
        <item x="128"/>
        <item x="212"/>
        <item x="257"/>
        <item x="228"/>
        <item x="202"/>
        <item x="289"/>
        <item x="41"/>
        <item x="303"/>
        <item x="223"/>
        <item x="306"/>
        <item x="268"/>
        <item x="177"/>
        <item x="308"/>
        <item x="205"/>
        <item x="50"/>
        <item x="305"/>
        <item x="304"/>
        <item x="255"/>
        <item x="288"/>
        <item x="199"/>
        <item x="46"/>
        <item x="200"/>
        <item x="296"/>
        <item t="default"/>
      </items>
    </pivotField>
  </pivotFields>
  <rowFields>
    <field x="28"/>
  </rowFields>
  <dataFields>
    <dataField name="SUM of UNITS_TOTAL" fld="2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1" max="31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  <c r="AE1" s="1" t="s">
        <v>29</v>
      </c>
    </row>
    <row r="2">
      <c r="A2" s="3">
        <v>-8567920.2117</v>
      </c>
      <c r="B2" s="3">
        <v>4702903.1207</v>
      </c>
      <c r="C2" s="3">
        <v>351963.0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>
        <v>14.0</v>
      </c>
      <c r="J2" s="3">
        <v>38.86884466</v>
      </c>
      <c r="K2" s="3">
        <v>-76.96698004</v>
      </c>
      <c r="L2" s="3">
        <v>0.0</v>
      </c>
      <c r="M2" s="3">
        <v>5.0</v>
      </c>
      <c r="N2" s="3">
        <v>0.0</v>
      </c>
      <c r="O2" s="3">
        <v>9.0</v>
      </c>
      <c r="P2" s="3">
        <v>0.0</v>
      </c>
      <c r="R2" s="3">
        <v>150119.0</v>
      </c>
      <c r="S2" s="3">
        <v>402869.48</v>
      </c>
      <c r="T2" s="3">
        <v>133447.29</v>
      </c>
      <c r="U2" s="3" t="s">
        <v>35</v>
      </c>
      <c r="V2" s="3" t="s">
        <v>36</v>
      </c>
      <c r="W2" s="3">
        <v>0.0</v>
      </c>
      <c r="X2" s="3">
        <v>0.0</v>
      </c>
      <c r="Y2" s="3">
        <v>14.0</v>
      </c>
      <c r="Z2" s="3">
        <v>14.0</v>
      </c>
      <c r="AA2" s="3">
        <v>0.0</v>
      </c>
      <c r="AB2" s="3">
        <v>14.0</v>
      </c>
      <c r="AC2" s="3" t="s">
        <v>37</v>
      </c>
      <c r="AE2" s="3" t="s">
        <v>38</v>
      </c>
    </row>
    <row r="3">
      <c r="A3" s="4">
        <v>-8570902.7687</v>
      </c>
      <c r="B3" s="4">
        <v>4707363.6883</v>
      </c>
      <c r="C3" s="4">
        <v>361606.0</v>
      </c>
      <c r="D3" s="5" t="s">
        <v>39</v>
      </c>
      <c r="E3" s="5" t="s">
        <v>40</v>
      </c>
      <c r="F3" s="5" t="s">
        <v>41</v>
      </c>
      <c r="G3" s="5" t="s">
        <v>33</v>
      </c>
      <c r="H3" s="5" t="s">
        <v>42</v>
      </c>
      <c r="I3" s="4">
        <v>32.0</v>
      </c>
      <c r="J3" s="4">
        <v>38.90003522</v>
      </c>
      <c r="K3" s="4">
        <v>-76.99372728</v>
      </c>
      <c r="L3" s="4">
        <v>0.0</v>
      </c>
      <c r="M3" s="4">
        <v>0.0</v>
      </c>
      <c r="N3" s="4">
        <v>0.0</v>
      </c>
      <c r="O3" s="4">
        <v>32.0</v>
      </c>
      <c r="P3" s="4">
        <v>0.0</v>
      </c>
      <c r="Q3" s="6">
        <v>46298.0</v>
      </c>
      <c r="R3" s="4">
        <v>289048.0</v>
      </c>
      <c r="S3" s="4">
        <v>400544.12</v>
      </c>
      <c r="T3" s="4">
        <v>136909.23</v>
      </c>
      <c r="U3" s="5" t="s">
        <v>43</v>
      </c>
      <c r="V3" s="5" t="s">
        <v>36</v>
      </c>
      <c r="W3" s="4">
        <v>0.0</v>
      </c>
      <c r="X3" s="4">
        <v>0.0</v>
      </c>
      <c r="Y3" s="4">
        <v>32.0</v>
      </c>
      <c r="Z3" s="4">
        <v>32.0</v>
      </c>
      <c r="AA3" s="4">
        <v>387.0</v>
      </c>
      <c r="AB3" s="4">
        <v>419.0</v>
      </c>
      <c r="AC3" s="5" t="s">
        <v>44</v>
      </c>
      <c r="AD3" s="5"/>
      <c r="AE3" s="5"/>
    </row>
    <row r="4">
      <c r="A4" s="4">
        <v>-8569805.3543</v>
      </c>
      <c r="B4" s="4">
        <v>4701611.8158</v>
      </c>
      <c r="C4" s="4">
        <v>361610.0</v>
      </c>
      <c r="D4" s="5" t="s">
        <v>45</v>
      </c>
      <c r="E4" s="5" t="s">
        <v>46</v>
      </c>
      <c r="F4" s="5" t="s">
        <v>47</v>
      </c>
      <c r="G4" s="5" t="s">
        <v>33</v>
      </c>
      <c r="H4" s="5" t="s">
        <v>34</v>
      </c>
      <c r="I4" s="4">
        <v>10.0</v>
      </c>
      <c r="J4" s="4">
        <v>38.85981208</v>
      </c>
      <c r="K4" s="4">
        <v>-76.98386904</v>
      </c>
      <c r="L4" s="4">
        <v>0.0</v>
      </c>
      <c r="M4" s="4">
        <v>2.0</v>
      </c>
      <c r="N4" s="4">
        <v>0.0</v>
      </c>
      <c r="O4" s="4">
        <v>8.0</v>
      </c>
      <c r="P4" s="4">
        <v>0.0</v>
      </c>
      <c r="Q4" s="5"/>
      <c r="R4" s="4">
        <v>286706.0</v>
      </c>
      <c r="S4" s="4">
        <v>401400.05</v>
      </c>
      <c r="T4" s="4">
        <v>132444.26</v>
      </c>
      <c r="U4" s="5" t="s">
        <v>48</v>
      </c>
      <c r="V4" s="5" t="s">
        <v>36</v>
      </c>
      <c r="W4" s="4">
        <v>0.0</v>
      </c>
      <c r="X4" s="4">
        <v>0.0</v>
      </c>
      <c r="Y4" s="4">
        <v>10.0</v>
      </c>
      <c r="Z4" s="4">
        <v>10.0</v>
      </c>
      <c r="AA4" s="4">
        <v>2.0</v>
      </c>
      <c r="AB4" s="4">
        <v>12.0</v>
      </c>
      <c r="AC4" s="5" t="s">
        <v>49</v>
      </c>
      <c r="AD4" s="5"/>
      <c r="AE4" s="7" t="s">
        <v>50</v>
      </c>
    </row>
    <row r="5">
      <c r="A5" s="4">
        <v>-8572867.588</v>
      </c>
      <c r="B5" s="4">
        <v>4715340.9543</v>
      </c>
      <c r="C5" s="4">
        <v>361617.0</v>
      </c>
      <c r="D5" s="5" t="s">
        <v>51</v>
      </c>
      <c r="E5" s="5" t="s">
        <v>52</v>
      </c>
      <c r="F5" s="5" t="s">
        <v>53</v>
      </c>
      <c r="G5" s="5" t="s">
        <v>33</v>
      </c>
      <c r="H5" s="5" t="s">
        <v>34</v>
      </c>
      <c r="I5" s="4">
        <v>10.0</v>
      </c>
      <c r="J5" s="4">
        <v>38.95578329</v>
      </c>
      <c r="K5" s="4">
        <v>-77.01137754</v>
      </c>
      <c r="L5" s="4">
        <v>4.0</v>
      </c>
      <c r="M5" s="4">
        <v>4.0</v>
      </c>
      <c r="N5" s="4">
        <v>0.0</v>
      </c>
      <c r="O5" s="4">
        <v>2.0</v>
      </c>
      <c r="P5" s="4">
        <v>0.0</v>
      </c>
      <c r="Q5" s="5"/>
      <c r="R5" s="4">
        <v>259338.0</v>
      </c>
      <c r="S5" s="4">
        <v>399013.84</v>
      </c>
      <c r="T5" s="4">
        <v>143097.75</v>
      </c>
      <c r="U5" s="5" t="s">
        <v>54</v>
      </c>
      <c r="V5" s="5" t="s">
        <v>36</v>
      </c>
      <c r="W5" s="4">
        <v>0.0</v>
      </c>
      <c r="X5" s="4">
        <v>10.0</v>
      </c>
      <c r="Y5" s="4">
        <v>0.0</v>
      </c>
      <c r="Z5" s="4">
        <v>10.0</v>
      </c>
      <c r="AA5" s="4">
        <v>0.0</v>
      </c>
      <c r="AB5" s="4">
        <v>10.0</v>
      </c>
      <c r="AC5" s="5" t="s">
        <v>55</v>
      </c>
      <c r="AD5" s="5"/>
      <c r="AE5" s="7" t="s">
        <v>50</v>
      </c>
    </row>
    <row r="6">
      <c r="A6" s="4">
        <v>-8571323.6547</v>
      </c>
      <c r="B6" s="4">
        <v>4711235.0664</v>
      </c>
      <c r="C6" s="4">
        <v>361623.0</v>
      </c>
      <c r="D6" s="5" t="s">
        <v>56</v>
      </c>
      <c r="E6" s="5" t="s">
        <v>57</v>
      </c>
      <c r="F6" s="5" t="s">
        <v>58</v>
      </c>
      <c r="G6" s="5" t="s">
        <v>33</v>
      </c>
      <c r="H6" s="5" t="s">
        <v>34</v>
      </c>
      <c r="I6" s="4">
        <v>80.0</v>
      </c>
      <c r="J6" s="4">
        <v>38.92709548</v>
      </c>
      <c r="K6" s="4">
        <v>-76.99750816</v>
      </c>
      <c r="L6" s="4">
        <v>15.0</v>
      </c>
      <c r="M6" s="4">
        <v>0.0</v>
      </c>
      <c r="N6" s="4">
        <v>65.0</v>
      </c>
      <c r="O6" s="4">
        <v>0.0</v>
      </c>
      <c r="P6" s="4">
        <v>0.0</v>
      </c>
      <c r="Q6" s="5"/>
      <c r="R6" s="4">
        <v>4114.0</v>
      </c>
      <c r="S6" s="4">
        <v>400216.07</v>
      </c>
      <c r="T6" s="4">
        <v>139913.09</v>
      </c>
      <c r="U6" s="5" t="s">
        <v>59</v>
      </c>
      <c r="V6" s="5" t="s">
        <v>36</v>
      </c>
      <c r="W6" s="4">
        <v>0.0</v>
      </c>
      <c r="X6" s="4">
        <v>80.0</v>
      </c>
      <c r="Y6" s="4">
        <v>0.0</v>
      </c>
      <c r="Z6" s="4">
        <v>80.0</v>
      </c>
      <c r="AA6" s="4">
        <v>0.0</v>
      </c>
      <c r="AB6" s="4">
        <v>80.0</v>
      </c>
      <c r="AC6" s="5" t="s">
        <v>60</v>
      </c>
      <c r="AD6" s="5"/>
      <c r="AE6" s="7" t="s">
        <v>50</v>
      </c>
    </row>
    <row r="7">
      <c r="A7" s="4">
        <v>-8573242.8205</v>
      </c>
      <c r="B7" s="4">
        <v>4707563.2551</v>
      </c>
      <c r="C7" s="4">
        <v>361624.0</v>
      </c>
      <c r="D7" s="5" t="s">
        <v>39</v>
      </c>
      <c r="E7" s="5" t="s">
        <v>61</v>
      </c>
      <c r="F7" s="5" t="s">
        <v>62</v>
      </c>
      <c r="G7" s="5" t="s">
        <v>33</v>
      </c>
      <c r="H7" s="5" t="s">
        <v>63</v>
      </c>
      <c r="I7" s="4">
        <v>71.0</v>
      </c>
      <c r="J7" s="4">
        <v>38.90140877</v>
      </c>
      <c r="K7" s="4">
        <v>-77.01478059</v>
      </c>
      <c r="L7" s="4">
        <v>14.0</v>
      </c>
      <c r="M7" s="4">
        <v>53.0</v>
      </c>
      <c r="N7" s="4">
        <v>4.0</v>
      </c>
      <c r="O7" s="4">
        <v>0.0</v>
      </c>
      <c r="P7" s="4">
        <v>0.0</v>
      </c>
      <c r="Q7" s="5"/>
      <c r="R7" s="4">
        <v>331865.0</v>
      </c>
      <c r="S7" s="4">
        <v>398720.7</v>
      </c>
      <c r="T7" s="4">
        <v>137064.19</v>
      </c>
      <c r="U7" s="5" t="s">
        <v>64</v>
      </c>
      <c r="V7" s="5" t="s">
        <v>36</v>
      </c>
      <c r="W7" s="4">
        <v>0.0</v>
      </c>
      <c r="X7" s="4">
        <v>0.0</v>
      </c>
      <c r="Y7" s="4">
        <v>71.0</v>
      </c>
      <c r="Z7" s="4">
        <v>71.0</v>
      </c>
      <c r="AA7" s="4">
        <v>273.0</v>
      </c>
      <c r="AB7" s="4">
        <v>344.0</v>
      </c>
      <c r="AC7" s="5" t="s">
        <v>65</v>
      </c>
      <c r="AD7" s="5"/>
      <c r="AE7" s="7" t="s">
        <v>50</v>
      </c>
    </row>
    <row r="8">
      <c r="A8" s="4">
        <v>-8573834.2867</v>
      </c>
      <c r="B8" s="4">
        <v>4715309.0513</v>
      </c>
      <c r="C8" s="4">
        <v>361630.0</v>
      </c>
      <c r="D8" s="5" t="s">
        <v>51</v>
      </c>
      <c r="E8" s="5" t="s">
        <v>66</v>
      </c>
      <c r="F8" s="5" t="s">
        <v>67</v>
      </c>
      <c r="G8" s="5" t="s">
        <v>33</v>
      </c>
      <c r="H8" s="5" t="s">
        <v>34</v>
      </c>
      <c r="I8" s="4">
        <v>12.0</v>
      </c>
      <c r="J8" s="4">
        <v>38.95556043</v>
      </c>
      <c r="K8" s="4">
        <v>-77.02006154</v>
      </c>
      <c r="L8" s="4">
        <v>5.0</v>
      </c>
      <c r="M8" s="4">
        <v>0.0</v>
      </c>
      <c r="N8" s="4">
        <v>4.0</v>
      </c>
      <c r="O8" s="4">
        <v>3.0</v>
      </c>
      <c r="P8" s="4">
        <v>0.0</v>
      </c>
      <c r="Q8" s="5"/>
      <c r="R8" s="4">
        <v>285180.0</v>
      </c>
      <c r="S8" s="4">
        <v>398261.14</v>
      </c>
      <c r="T8" s="4">
        <v>143073.14</v>
      </c>
      <c r="U8" s="5" t="s">
        <v>68</v>
      </c>
      <c r="V8" s="5" t="s">
        <v>36</v>
      </c>
      <c r="W8" s="4">
        <v>0.0</v>
      </c>
      <c r="X8" s="4">
        <v>12.0</v>
      </c>
      <c r="Y8" s="4">
        <v>0.0</v>
      </c>
      <c r="Z8" s="4">
        <v>12.0</v>
      </c>
      <c r="AA8" s="4">
        <v>0.0</v>
      </c>
      <c r="AB8" s="4">
        <v>12.0</v>
      </c>
      <c r="AC8" s="5" t="s">
        <v>69</v>
      </c>
      <c r="AD8" s="5"/>
      <c r="AE8" s="7" t="s">
        <v>50</v>
      </c>
    </row>
    <row r="9">
      <c r="A9" s="4">
        <v>-8573095.6561</v>
      </c>
      <c r="B9" s="4">
        <v>4707448.8271</v>
      </c>
      <c r="C9" s="4">
        <v>361632.0</v>
      </c>
      <c r="D9" s="5" t="s">
        <v>39</v>
      </c>
      <c r="E9" s="5" t="s">
        <v>70</v>
      </c>
      <c r="F9" s="5" t="s">
        <v>71</v>
      </c>
      <c r="G9" s="5" t="s">
        <v>33</v>
      </c>
      <c r="H9" s="5" t="s">
        <v>72</v>
      </c>
      <c r="I9" s="4">
        <v>104.0</v>
      </c>
      <c r="J9" s="4">
        <v>38.90063043</v>
      </c>
      <c r="K9" s="4">
        <v>-77.01342631</v>
      </c>
      <c r="L9" s="4">
        <v>21.0</v>
      </c>
      <c r="M9" s="4">
        <v>83.0</v>
      </c>
      <c r="N9" s="4">
        <v>0.0</v>
      </c>
      <c r="O9" s="4">
        <v>0.0</v>
      </c>
      <c r="P9" s="4">
        <v>0.0</v>
      </c>
      <c r="Q9" s="5" t="s">
        <v>73</v>
      </c>
      <c r="R9" s="4">
        <v>318276.0</v>
      </c>
      <c r="S9" s="4">
        <v>398835.36</v>
      </c>
      <c r="T9" s="4">
        <v>136975.37</v>
      </c>
      <c r="U9" s="5" t="s">
        <v>74</v>
      </c>
      <c r="V9" s="5" t="s">
        <v>36</v>
      </c>
      <c r="W9" s="4">
        <v>0.0</v>
      </c>
      <c r="X9" s="4">
        <v>0.0</v>
      </c>
      <c r="Y9" s="4">
        <v>104.0</v>
      </c>
      <c r="Z9" s="4">
        <v>104.0</v>
      </c>
      <c r="AA9" s="4">
        <v>0.0</v>
      </c>
      <c r="AB9" s="4">
        <v>104.0</v>
      </c>
      <c r="AC9" s="5" t="s">
        <v>75</v>
      </c>
      <c r="AD9" s="5"/>
      <c r="AE9" s="7"/>
    </row>
    <row r="10">
      <c r="A10" s="4">
        <v>-8569325.6033</v>
      </c>
      <c r="B10" s="4">
        <v>4711330.165</v>
      </c>
      <c r="C10" s="4">
        <v>361633.0</v>
      </c>
      <c r="D10" s="5" t="s">
        <v>56</v>
      </c>
      <c r="E10" s="5" t="s">
        <v>76</v>
      </c>
      <c r="F10" s="5" t="s">
        <v>77</v>
      </c>
      <c r="G10" s="5" t="s">
        <v>33</v>
      </c>
      <c r="H10" s="5" t="s">
        <v>34</v>
      </c>
      <c r="I10" s="4">
        <v>61.0</v>
      </c>
      <c r="J10" s="4">
        <v>38.92773479</v>
      </c>
      <c r="K10" s="4">
        <v>-76.97964056</v>
      </c>
      <c r="L10" s="4">
        <v>13.0</v>
      </c>
      <c r="M10" s="4">
        <v>48.0</v>
      </c>
      <c r="N10" s="4">
        <v>0.0</v>
      </c>
      <c r="O10" s="4">
        <v>0.0</v>
      </c>
      <c r="P10" s="4">
        <v>0.0</v>
      </c>
      <c r="Q10" s="5"/>
      <c r="R10" s="4">
        <v>56748.0</v>
      </c>
      <c r="S10" s="4">
        <v>401772.41</v>
      </c>
      <c r="T10" s="4">
        <v>139987.06</v>
      </c>
      <c r="U10" s="5" t="s">
        <v>78</v>
      </c>
      <c r="V10" s="5" t="s">
        <v>36</v>
      </c>
      <c r="W10" s="4">
        <v>0.0</v>
      </c>
      <c r="X10" s="4">
        <v>0.0</v>
      </c>
      <c r="Y10" s="4">
        <v>61.0</v>
      </c>
      <c r="Z10" s="4">
        <v>61.0</v>
      </c>
      <c r="AA10" s="4">
        <v>0.0</v>
      </c>
      <c r="AB10" s="4">
        <v>61.0</v>
      </c>
      <c r="AC10" s="5" t="s">
        <v>75</v>
      </c>
      <c r="AD10" s="5"/>
      <c r="AE10" s="7" t="s">
        <v>50</v>
      </c>
    </row>
    <row r="11">
      <c r="A11" s="4">
        <v>-8574348.1412</v>
      </c>
      <c r="B11" s="4">
        <v>4715455.1606</v>
      </c>
      <c r="C11" s="4">
        <v>361634.0</v>
      </c>
      <c r="D11" s="5" t="s">
        <v>51</v>
      </c>
      <c r="E11" s="5" t="s">
        <v>79</v>
      </c>
      <c r="F11" s="5" t="s">
        <v>80</v>
      </c>
      <c r="G11" s="5" t="s">
        <v>33</v>
      </c>
      <c r="H11" s="5" t="s">
        <v>81</v>
      </c>
      <c r="I11" s="4">
        <v>38.0</v>
      </c>
      <c r="J11" s="4">
        <v>38.95657102</v>
      </c>
      <c r="K11" s="4">
        <v>-77.02468645</v>
      </c>
      <c r="L11" s="4">
        <v>3.0</v>
      </c>
      <c r="M11" s="4">
        <v>35.0</v>
      </c>
      <c r="N11" s="4">
        <v>0.0</v>
      </c>
      <c r="O11" s="4">
        <v>0.0</v>
      </c>
      <c r="P11" s="4">
        <v>0.0</v>
      </c>
      <c r="Q11" s="5"/>
      <c r="R11" s="4">
        <v>254492.0</v>
      </c>
      <c r="S11" s="4">
        <v>397861.07</v>
      </c>
      <c r="T11" s="4">
        <v>143186.54</v>
      </c>
      <c r="U11" s="5" t="s">
        <v>82</v>
      </c>
      <c r="V11" s="5" t="s">
        <v>36</v>
      </c>
      <c r="W11" s="4">
        <v>0.0</v>
      </c>
      <c r="X11" s="4">
        <v>0.0</v>
      </c>
      <c r="Y11" s="4">
        <v>38.0</v>
      </c>
      <c r="Z11" s="4">
        <v>38.0</v>
      </c>
      <c r="AA11" s="4">
        <v>0.0</v>
      </c>
      <c r="AB11" s="4">
        <v>38.0</v>
      </c>
      <c r="AC11" s="5" t="s">
        <v>83</v>
      </c>
      <c r="AD11" s="5"/>
      <c r="AE11" s="7" t="s">
        <v>50</v>
      </c>
    </row>
    <row r="12">
      <c r="A12" s="4">
        <v>-8574580.5457</v>
      </c>
      <c r="B12" s="4">
        <v>4715602.9575</v>
      </c>
      <c r="C12" s="4">
        <v>361635.0</v>
      </c>
      <c r="D12" s="5" t="s">
        <v>51</v>
      </c>
      <c r="E12" s="5" t="s">
        <v>84</v>
      </c>
      <c r="F12" s="5" t="s">
        <v>85</v>
      </c>
      <c r="G12" s="5" t="s">
        <v>33</v>
      </c>
      <c r="H12" s="5" t="s">
        <v>34</v>
      </c>
      <c r="I12" s="4">
        <v>51.0</v>
      </c>
      <c r="J12" s="4">
        <v>38.95761351</v>
      </c>
      <c r="K12" s="4">
        <v>-77.0267653</v>
      </c>
      <c r="L12" s="4">
        <v>6.0</v>
      </c>
      <c r="M12" s="4">
        <v>33.0</v>
      </c>
      <c r="N12" s="4">
        <v>0.0</v>
      </c>
      <c r="O12" s="4">
        <v>12.0</v>
      </c>
      <c r="P12" s="4">
        <v>0.0</v>
      </c>
      <c r="Q12" s="5"/>
      <c r="R12" s="4">
        <v>254436.0</v>
      </c>
      <c r="S12" s="4">
        <v>397680.15</v>
      </c>
      <c r="T12" s="4">
        <v>143301.2</v>
      </c>
      <c r="U12" s="5" t="s">
        <v>86</v>
      </c>
      <c r="V12" s="5" t="s">
        <v>36</v>
      </c>
      <c r="W12" s="4">
        <v>51.0</v>
      </c>
      <c r="X12" s="4">
        <v>0.0</v>
      </c>
      <c r="Y12" s="4">
        <v>0.0</v>
      </c>
      <c r="Z12" s="4">
        <v>0.0</v>
      </c>
      <c r="AA12" s="4">
        <v>0.0</v>
      </c>
      <c r="AB12" s="4">
        <v>51.0</v>
      </c>
      <c r="AC12" s="5" t="s">
        <v>87</v>
      </c>
      <c r="AD12" s="5"/>
      <c r="AE12" s="7" t="s">
        <v>50</v>
      </c>
    </row>
    <row r="13">
      <c r="A13" s="4">
        <v>-8564118.3081</v>
      </c>
      <c r="B13" s="4">
        <v>4705672.3735</v>
      </c>
      <c r="C13" s="4">
        <v>361636.0</v>
      </c>
      <c r="D13" s="5" t="s">
        <v>30</v>
      </c>
      <c r="E13" s="5" t="s">
        <v>88</v>
      </c>
      <c r="F13" s="5" t="s">
        <v>89</v>
      </c>
      <c r="G13" s="5" t="s">
        <v>33</v>
      </c>
      <c r="H13" s="5" t="s">
        <v>34</v>
      </c>
      <c r="I13" s="4">
        <v>28.0</v>
      </c>
      <c r="J13" s="4">
        <v>38.88812445</v>
      </c>
      <c r="K13" s="4">
        <v>-76.93260276</v>
      </c>
      <c r="L13" s="4">
        <v>0.0</v>
      </c>
      <c r="M13" s="4">
        <v>10.0</v>
      </c>
      <c r="N13" s="4">
        <v>2.0</v>
      </c>
      <c r="O13" s="4">
        <v>16.0</v>
      </c>
      <c r="P13" s="4">
        <v>0.0</v>
      </c>
      <c r="Q13" s="8"/>
      <c r="R13" s="4">
        <v>155788.0</v>
      </c>
      <c r="S13" s="4">
        <v>405831.76</v>
      </c>
      <c r="T13" s="4">
        <v>135598.68</v>
      </c>
      <c r="U13" s="5" t="s">
        <v>90</v>
      </c>
      <c r="V13" s="5" t="s">
        <v>36</v>
      </c>
      <c r="W13" s="4">
        <v>0.0</v>
      </c>
      <c r="X13" s="4">
        <v>0.0</v>
      </c>
      <c r="Y13" s="4">
        <v>28.0</v>
      </c>
      <c r="Z13" s="4">
        <v>28.0</v>
      </c>
      <c r="AA13" s="4">
        <v>0.0</v>
      </c>
      <c r="AB13" s="4">
        <v>28.0</v>
      </c>
      <c r="AC13" s="5" t="s">
        <v>91</v>
      </c>
      <c r="AD13" s="5"/>
      <c r="AE13" s="7" t="s">
        <v>50</v>
      </c>
    </row>
    <row r="14">
      <c r="A14" s="4">
        <v>-8574770.6136</v>
      </c>
      <c r="B14" s="4">
        <v>4712534.3659</v>
      </c>
      <c r="C14" s="4">
        <v>361637.0</v>
      </c>
      <c r="D14" s="5" t="s">
        <v>51</v>
      </c>
      <c r="E14" s="5" t="s">
        <v>92</v>
      </c>
      <c r="F14" s="5" t="s">
        <v>93</v>
      </c>
      <c r="G14" s="5" t="s">
        <v>33</v>
      </c>
      <c r="H14" s="5" t="s">
        <v>63</v>
      </c>
      <c r="I14" s="4">
        <v>45.0</v>
      </c>
      <c r="J14" s="4">
        <v>38.93630084</v>
      </c>
      <c r="K14" s="4">
        <v>-77.02868418</v>
      </c>
      <c r="L14" s="4">
        <v>14.0</v>
      </c>
      <c r="M14" s="4">
        <v>17.0</v>
      </c>
      <c r="N14" s="4">
        <v>14.0</v>
      </c>
      <c r="O14" s="4">
        <v>0.0</v>
      </c>
      <c r="P14" s="4">
        <v>0.0</v>
      </c>
      <c r="Q14" s="5"/>
      <c r="R14" s="4">
        <v>283920.0</v>
      </c>
      <c r="S14" s="4">
        <v>397531.42</v>
      </c>
      <c r="T14" s="4">
        <v>140921.37</v>
      </c>
      <c r="U14" s="5" t="s">
        <v>94</v>
      </c>
      <c r="V14" s="5" t="s">
        <v>36</v>
      </c>
      <c r="W14" s="4">
        <v>0.0</v>
      </c>
      <c r="X14" s="4">
        <v>0.0</v>
      </c>
      <c r="Y14" s="4">
        <v>45.0</v>
      </c>
      <c r="Z14" s="4">
        <v>45.0</v>
      </c>
      <c r="AA14" s="4">
        <v>0.0</v>
      </c>
      <c r="AB14" s="4">
        <v>45.0</v>
      </c>
      <c r="AC14" s="5" t="s">
        <v>95</v>
      </c>
      <c r="AD14" s="5"/>
      <c r="AE14" s="7" t="s">
        <v>50</v>
      </c>
    </row>
    <row r="15">
      <c r="A15" s="4">
        <v>-8573528.4594</v>
      </c>
      <c r="B15" s="4">
        <v>4704268.4289</v>
      </c>
      <c r="C15" s="4">
        <v>361639.0</v>
      </c>
      <c r="D15" s="5" t="s">
        <v>39</v>
      </c>
      <c r="E15" s="5" t="s">
        <v>96</v>
      </c>
      <c r="F15" s="5" t="s">
        <v>97</v>
      </c>
      <c r="G15" s="5" t="s">
        <v>33</v>
      </c>
      <c r="H15" s="5" t="s">
        <v>63</v>
      </c>
      <c r="I15" s="4">
        <v>136.0</v>
      </c>
      <c r="J15" s="4">
        <v>38.87838266</v>
      </c>
      <c r="K15" s="4">
        <v>-77.01708548</v>
      </c>
      <c r="L15" s="4">
        <v>68.0</v>
      </c>
      <c r="M15" s="4">
        <v>68.0</v>
      </c>
      <c r="N15" s="4">
        <v>0.0</v>
      </c>
      <c r="O15" s="4">
        <v>0.0</v>
      </c>
      <c r="P15" s="4">
        <v>0.0</v>
      </c>
      <c r="Q15" s="5"/>
      <c r="R15" s="4">
        <v>307103.0</v>
      </c>
      <c r="S15" s="4">
        <v>398497.64</v>
      </c>
      <c r="T15" s="4">
        <v>134506.87</v>
      </c>
      <c r="U15" s="5" t="s">
        <v>98</v>
      </c>
      <c r="V15" s="5" t="s">
        <v>36</v>
      </c>
      <c r="W15" s="4">
        <v>0.0</v>
      </c>
      <c r="X15" s="4">
        <v>0.0</v>
      </c>
      <c r="Y15" s="4">
        <v>136.0</v>
      </c>
      <c r="Z15" s="4">
        <v>136.0</v>
      </c>
      <c r="AA15" s="4">
        <v>313.0</v>
      </c>
      <c r="AB15" s="4">
        <v>449.0</v>
      </c>
      <c r="AC15" s="5" t="s">
        <v>99</v>
      </c>
      <c r="AD15" s="5"/>
      <c r="AE15" s="7" t="s">
        <v>50</v>
      </c>
    </row>
    <row r="16">
      <c r="A16" s="4">
        <v>-8571874.7394</v>
      </c>
      <c r="B16" s="4">
        <v>4703612.6191</v>
      </c>
      <c r="C16" s="4">
        <v>361640.0</v>
      </c>
      <c r="D16" s="5" t="s">
        <v>39</v>
      </c>
      <c r="E16" s="5" t="s">
        <v>100</v>
      </c>
      <c r="F16" s="5" t="s">
        <v>101</v>
      </c>
      <c r="G16" s="5" t="s">
        <v>33</v>
      </c>
      <c r="H16" s="5" t="s">
        <v>102</v>
      </c>
      <c r="I16" s="4">
        <v>53.0</v>
      </c>
      <c r="J16" s="4">
        <v>38.87374198</v>
      </c>
      <c r="K16" s="4">
        <v>-77.00246186</v>
      </c>
      <c r="L16" s="4">
        <v>0.0</v>
      </c>
      <c r="M16" s="4">
        <v>0.0</v>
      </c>
      <c r="N16" s="4">
        <v>53.0</v>
      </c>
      <c r="O16" s="4">
        <v>0.0</v>
      </c>
      <c r="P16" s="4">
        <v>0.0</v>
      </c>
      <c r="Q16" s="5" t="s">
        <v>103</v>
      </c>
      <c r="R16" s="4">
        <v>318654.0</v>
      </c>
      <c r="S16" s="4">
        <v>399786.65</v>
      </c>
      <c r="T16" s="4">
        <v>133997.61</v>
      </c>
      <c r="U16" s="5" t="s">
        <v>104</v>
      </c>
      <c r="V16" s="5" t="s">
        <v>36</v>
      </c>
      <c r="W16" s="4">
        <v>0.0</v>
      </c>
      <c r="X16" s="4">
        <v>0.0</v>
      </c>
      <c r="Y16" s="4">
        <v>53.0</v>
      </c>
      <c r="Z16" s="4">
        <v>53.0</v>
      </c>
      <c r="AA16" s="4">
        <v>211.0</v>
      </c>
      <c r="AB16" s="4">
        <v>264.0</v>
      </c>
      <c r="AC16" s="5" t="s">
        <v>105</v>
      </c>
      <c r="AD16" s="5"/>
      <c r="AE16" s="5"/>
    </row>
    <row r="17">
      <c r="A17" s="4">
        <v>-8574863.3168</v>
      </c>
      <c r="B17" s="4">
        <v>4715669.8387</v>
      </c>
      <c r="C17" s="4">
        <v>361641.0</v>
      </c>
      <c r="D17" s="5" t="s">
        <v>51</v>
      </c>
      <c r="E17" s="5" t="s">
        <v>106</v>
      </c>
      <c r="F17" s="5" t="s">
        <v>107</v>
      </c>
      <c r="G17" s="5" t="s">
        <v>33</v>
      </c>
      <c r="H17" s="5" t="s">
        <v>34</v>
      </c>
      <c r="I17" s="4">
        <v>1.0</v>
      </c>
      <c r="J17" s="4">
        <v>38.9581452</v>
      </c>
      <c r="K17" s="4">
        <v>-77.02930077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5"/>
      <c r="R17" s="4">
        <v>253105.0</v>
      </c>
      <c r="S17" s="4">
        <v>397460.0</v>
      </c>
      <c r="T17" s="4">
        <v>143353.13</v>
      </c>
      <c r="U17" s="5" t="s">
        <v>108</v>
      </c>
      <c r="V17" s="5" t="s">
        <v>36</v>
      </c>
      <c r="W17" s="4">
        <v>0.0</v>
      </c>
      <c r="X17" s="4">
        <v>0.0</v>
      </c>
      <c r="Y17" s="4">
        <v>1.0</v>
      </c>
      <c r="Z17" s="4">
        <v>1.0</v>
      </c>
      <c r="AA17" s="4">
        <v>7.0</v>
      </c>
      <c r="AB17" s="4">
        <v>8.0</v>
      </c>
      <c r="AC17" s="5" t="s">
        <v>109</v>
      </c>
      <c r="AD17" s="5"/>
      <c r="AE17" s="7" t="s">
        <v>50</v>
      </c>
    </row>
    <row r="18">
      <c r="A18" s="4">
        <v>-8568698.9191</v>
      </c>
      <c r="B18" s="4">
        <v>4707101.0279</v>
      </c>
      <c r="C18" s="4">
        <v>361642.0</v>
      </c>
      <c r="D18" s="5" t="s">
        <v>30</v>
      </c>
      <c r="E18" s="5" t="s">
        <v>110</v>
      </c>
      <c r="F18" s="5" t="s">
        <v>111</v>
      </c>
      <c r="G18" s="5" t="s">
        <v>33</v>
      </c>
      <c r="H18" s="5" t="s">
        <v>34</v>
      </c>
      <c r="I18" s="4">
        <v>2.0</v>
      </c>
      <c r="J18" s="4">
        <v>38.89819568</v>
      </c>
      <c r="K18" s="4">
        <v>-76.97397</v>
      </c>
      <c r="L18" s="4">
        <v>0.0</v>
      </c>
      <c r="M18" s="4">
        <v>1.0</v>
      </c>
      <c r="N18" s="4">
        <v>1.0</v>
      </c>
      <c r="O18" s="4">
        <v>0.0</v>
      </c>
      <c r="P18" s="4">
        <v>0.0</v>
      </c>
      <c r="Q18" s="5"/>
      <c r="R18" s="4">
        <v>317222.0</v>
      </c>
      <c r="S18" s="4">
        <v>402261.49</v>
      </c>
      <c r="T18" s="4">
        <v>136705.69</v>
      </c>
      <c r="U18" s="5" t="s">
        <v>112</v>
      </c>
      <c r="V18" s="5" t="s">
        <v>36</v>
      </c>
      <c r="W18" s="4">
        <v>0.0</v>
      </c>
      <c r="X18" s="4">
        <v>0.0</v>
      </c>
      <c r="Y18" s="4">
        <v>2.0</v>
      </c>
      <c r="Z18" s="4">
        <v>2.0</v>
      </c>
      <c r="AA18" s="4">
        <v>29.0</v>
      </c>
      <c r="AB18" s="4">
        <v>31.0</v>
      </c>
      <c r="AC18" s="5" t="s">
        <v>113</v>
      </c>
      <c r="AD18" s="5"/>
      <c r="AE18" s="7" t="s">
        <v>50</v>
      </c>
    </row>
    <row r="19">
      <c r="A19" s="4">
        <v>-8574173.4985</v>
      </c>
      <c r="B19" s="4">
        <v>4711129.6614</v>
      </c>
      <c r="C19" s="4">
        <v>361644.0</v>
      </c>
      <c r="D19" s="5" t="s">
        <v>114</v>
      </c>
      <c r="E19" s="5" t="s">
        <v>115</v>
      </c>
      <c r="F19" s="5" t="s">
        <v>116</v>
      </c>
      <c r="G19" s="5" t="s">
        <v>33</v>
      </c>
      <c r="H19" s="5" t="s">
        <v>34</v>
      </c>
      <c r="I19" s="4">
        <v>1.0</v>
      </c>
      <c r="J19" s="4">
        <v>38.92633427</v>
      </c>
      <c r="K19" s="4">
        <v>-77.02310884</v>
      </c>
      <c r="L19" s="4">
        <v>0.0</v>
      </c>
      <c r="M19" s="4">
        <v>1.0</v>
      </c>
      <c r="N19" s="4">
        <v>0.0</v>
      </c>
      <c r="O19" s="4">
        <v>0.0</v>
      </c>
      <c r="P19" s="4">
        <v>0.0</v>
      </c>
      <c r="Q19" s="5"/>
      <c r="R19" s="4">
        <v>232548.0</v>
      </c>
      <c r="S19" s="4">
        <v>397996.2</v>
      </c>
      <c r="T19" s="4">
        <v>139831.57</v>
      </c>
      <c r="U19" s="5" t="s">
        <v>117</v>
      </c>
      <c r="V19" s="5" t="s">
        <v>36</v>
      </c>
      <c r="W19" s="4">
        <v>0.0</v>
      </c>
      <c r="X19" s="4">
        <v>0.0</v>
      </c>
      <c r="Y19" s="4">
        <v>1.0</v>
      </c>
      <c r="Z19" s="4">
        <v>1.0</v>
      </c>
      <c r="AA19" s="4">
        <v>9.0</v>
      </c>
      <c r="AB19" s="4">
        <v>10.0</v>
      </c>
      <c r="AC19" s="5" t="s">
        <v>118</v>
      </c>
      <c r="AD19" s="5"/>
      <c r="AE19" s="7" t="s">
        <v>50</v>
      </c>
    </row>
    <row r="20">
      <c r="A20" s="4">
        <v>-8571295.713</v>
      </c>
      <c r="B20" s="4">
        <v>4708862.8152</v>
      </c>
      <c r="C20" s="4">
        <v>361648.0</v>
      </c>
      <c r="D20" s="5" t="s">
        <v>56</v>
      </c>
      <c r="E20" s="5" t="s">
        <v>119</v>
      </c>
      <c r="F20" s="5" t="s">
        <v>120</v>
      </c>
      <c r="G20" s="5" t="s">
        <v>33</v>
      </c>
      <c r="H20" s="5" t="s">
        <v>42</v>
      </c>
      <c r="I20" s="4">
        <v>37.0</v>
      </c>
      <c r="J20" s="4">
        <v>38.91051495</v>
      </c>
      <c r="K20" s="4">
        <v>-76.99725715</v>
      </c>
      <c r="L20" s="4">
        <v>0.0</v>
      </c>
      <c r="M20" s="4">
        <v>12.0</v>
      </c>
      <c r="N20" s="4">
        <v>25.0</v>
      </c>
      <c r="O20" s="4">
        <v>0.0</v>
      </c>
      <c r="P20" s="4">
        <v>0.0</v>
      </c>
      <c r="Q20" s="5" t="s">
        <v>121</v>
      </c>
      <c r="R20" s="4">
        <v>327759.0</v>
      </c>
      <c r="S20" s="4">
        <v>400237.89</v>
      </c>
      <c r="T20" s="4">
        <v>138072.55</v>
      </c>
      <c r="U20" s="5" t="s">
        <v>122</v>
      </c>
      <c r="V20" s="5" t="s">
        <v>36</v>
      </c>
      <c r="W20" s="4">
        <v>0.0</v>
      </c>
      <c r="X20" s="4">
        <v>0.0</v>
      </c>
      <c r="Y20" s="4">
        <v>37.0</v>
      </c>
      <c r="Z20" s="4">
        <v>37.0</v>
      </c>
      <c r="AA20" s="4">
        <v>263.0</v>
      </c>
      <c r="AB20" s="4">
        <v>300.0</v>
      </c>
      <c r="AC20" s="5" t="s">
        <v>123</v>
      </c>
      <c r="AD20" s="5"/>
      <c r="AE20" s="7" t="s">
        <v>50</v>
      </c>
    </row>
    <row r="21">
      <c r="A21" s="4">
        <v>-8563387.5498</v>
      </c>
      <c r="B21" s="4">
        <v>4707083.3322</v>
      </c>
      <c r="C21" s="4">
        <v>361649.0</v>
      </c>
      <c r="D21" s="5" t="s">
        <v>30</v>
      </c>
      <c r="E21" s="5" t="s">
        <v>124</v>
      </c>
      <c r="F21" s="5" t="s">
        <v>125</v>
      </c>
      <c r="G21" s="5" t="s">
        <v>33</v>
      </c>
      <c r="H21" s="5" t="s">
        <v>126</v>
      </c>
      <c r="I21" s="4">
        <v>86.0</v>
      </c>
      <c r="J21" s="4">
        <v>38.8980752</v>
      </c>
      <c r="K21" s="4">
        <v>-76.92621694</v>
      </c>
      <c r="L21" s="4">
        <v>28.0</v>
      </c>
      <c r="M21" s="4">
        <v>0.0</v>
      </c>
      <c r="N21" s="4">
        <v>58.0</v>
      </c>
      <c r="O21" s="4">
        <v>0.0</v>
      </c>
      <c r="P21" s="4">
        <v>0.0</v>
      </c>
      <c r="Q21" s="5" t="s">
        <v>127</v>
      </c>
      <c r="R21" s="4">
        <v>311665.0</v>
      </c>
      <c r="S21" s="4">
        <v>406400.4</v>
      </c>
      <c r="T21" s="4">
        <v>136694.22</v>
      </c>
      <c r="U21" s="5" t="s">
        <v>128</v>
      </c>
      <c r="V21" s="5" t="s">
        <v>36</v>
      </c>
      <c r="W21" s="4">
        <v>28.0</v>
      </c>
      <c r="X21" s="4">
        <v>0.0</v>
      </c>
      <c r="Y21" s="4">
        <v>58.0</v>
      </c>
      <c r="Z21" s="4">
        <v>58.0</v>
      </c>
      <c r="AA21" s="4">
        <v>0.0</v>
      </c>
      <c r="AB21" s="4">
        <v>86.0</v>
      </c>
      <c r="AC21" s="5" t="s">
        <v>129</v>
      </c>
      <c r="AD21" s="5"/>
      <c r="AE21" s="5"/>
    </row>
    <row r="22">
      <c r="A22" s="4">
        <v>-8571799.2993</v>
      </c>
      <c r="B22" s="4">
        <v>4709076.9313</v>
      </c>
      <c r="C22" s="4">
        <v>361650.0</v>
      </c>
      <c r="D22" s="5" t="s">
        <v>56</v>
      </c>
      <c r="E22" s="5" t="s">
        <v>130</v>
      </c>
      <c r="F22" s="5" t="s">
        <v>131</v>
      </c>
      <c r="G22" s="5" t="s">
        <v>33</v>
      </c>
      <c r="H22" s="5" t="s">
        <v>42</v>
      </c>
      <c r="I22" s="4">
        <v>23.0</v>
      </c>
      <c r="J22" s="4">
        <v>38.91195414</v>
      </c>
      <c r="K22" s="4">
        <v>-77.00158055</v>
      </c>
      <c r="L22" s="4">
        <v>0.0</v>
      </c>
      <c r="M22" s="4">
        <v>0.0</v>
      </c>
      <c r="N22" s="4">
        <v>23.0</v>
      </c>
      <c r="O22" s="4">
        <v>0.0</v>
      </c>
      <c r="P22" s="4">
        <v>0.0</v>
      </c>
      <c r="Q22" s="5" t="s">
        <v>132</v>
      </c>
      <c r="R22" s="4">
        <v>315791.0</v>
      </c>
      <c r="S22" s="4">
        <v>399845.54</v>
      </c>
      <c r="T22" s="4">
        <v>138238.69</v>
      </c>
      <c r="U22" s="5" t="s">
        <v>133</v>
      </c>
      <c r="V22" s="5" t="s">
        <v>36</v>
      </c>
      <c r="W22" s="4">
        <v>0.0</v>
      </c>
      <c r="X22" s="4">
        <v>0.0</v>
      </c>
      <c r="Y22" s="4">
        <v>23.0</v>
      </c>
      <c r="Z22" s="4">
        <v>23.0</v>
      </c>
      <c r="AA22" s="4">
        <v>304.0</v>
      </c>
      <c r="AB22" s="4">
        <v>327.0</v>
      </c>
      <c r="AC22" s="5" t="s">
        <v>134</v>
      </c>
      <c r="AD22" s="5"/>
      <c r="AE22" s="5"/>
    </row>
    <row r="23">
      <c r="A23" s="4">
        <v>-8563762.4531</v>
      </c>
      <c r="B23" s="4">
        <v>4706908.0705</v>
      </c>
      <c r="C23" s="4">
        <v>361651.0</v>
      </c>
      <c r="D23" s="5" t="s">
        <v>30</v>
      </c>
      <c r="E23" s="5" t="s">
        <v>135</v>
      </c>
      <c r="F23" s="5" t="s">
        <v>136</v>
      </c>
      <c r="G23" s="5" t="s">
        <v>33</v>
      </c>
      <c r="H23" s="5" t="s">
        <v>126</v>
      </c>
      <c r="I23" s="4">
        <v>93.0</v>
      </c>
      <c r="J23" s="4">
        <v>38.89678568</v>
      </c>
      <c r="K23" s="4">
        <v>-76.92960925</v>
      </c>
      <c r="L23" s="4">
        <v>35.0</v>
      </c>
      <c r="M23" s="4">
        <v>11.0</v>
      </c>
      <c r="N23" s="4">
        <v>47.0</v>
      </c>
      <c r="O23" s="4">
        <v>0.0</v>
      </c>
      <c r="P23" s="4">
        <v>0.0</v>
      </c>
      <c r="Q23" s="5" t="s">
        <v>137</v>
      </c>
      <c r="R23" s="4">
        <v>332112.0</v>
      </c>
      <c r="S23" s="4">
        <v>406108.36</v>
      </c>
      <c r="T23" s="4">
        <v>136557.97</v>
      </c>
      <c r="U23" s="5" t="s">
        <v>138</v>
      </c>
      <c r="V23" s="5" t="s">
        <v>36</v>
      </c>
      <c r="W23" s="4">
        <v>35.0</v>
      </c>
      <c r="X23" s="4">
        <v>0.0</v>
      </c>
      <c r="Y23" s="4">
        <v>58.0</v>
      </c>
      <c r="Z23" s="4">
        <v>58.0</v>
      </c>
      <c r="AA23" s="4">
        <v>0.0</v>
      </c>
      <c r="AB23" s="4">
        <v>93.0</v>
      </c>
      <c r="AC23" s="5" t="s">
        <v>139</v>
      </c>
      <c r="AD23" s="5"/>
      <c r="AE23" s="5"/>
    </row>
    <row r="24">
      <c r="A24" s="4">
        <v>-8566678.4973</v>
      </c>
      <c r="B24" s="4">
        <v>4706726.609</v>
      </c>
      <c r="C24" s="4">
        <v>361655.0</v>
      </c>
      <c r="D24" s="5" t="s">
        <v>30</v>
      </c>
      <c r="E24" s="5" t="s">
        <v>140</v>
      </c>
      <c r="F24" s="5" t="s">
        <v>141</v>
      </c>
      <c r="G24" s="5" t="s">
        <v>33</v>
      </c>
      <c r="H24" s="5" t="s">
        <v>102</v>
      </c>
      <c r="I24" s="4">
        <v>49.0</v>
      </c>
      <c r="J24" s="4">
        <v>38.89564429</v>
      </c>
      <c r="K24" s="4">
        <v>-76.95605929</v>
      </c>
      <c r="L24" s="4">
        <v>5.0</v>
      </c>
      <c r="M24" s="4">
        <v>20.0</v>
      </c>
      <c r="N24" s="4">
        <v>18.0</v>
      </c>
      <c r="O24" s="4">
        <v>6.0</v>
      </c>
      <c r="P24" s="4">
        <v>0.0</v>
      </c>
      <c r="Q24" s="5" t="s">
        <v>142</v>
      </c>
      <c r="R24" s="4">
        <v>335759.0</v>
      </c>
      <c r="S24" s="4">
        <v>403836.05</v>
      </c>
      <c r="T24" s="4">
        <v>136415.71</v>
      </c>
      <c r="U24" s="5" t="s">
        <v>143</v>
      </c>
      <c r="V24" s="5" t="s">
        <v>36</v>
      </c>
      <c r="W24" s="4">
        <v>0.0</v>
      </c>
      <c r="X24" s="4">
        <v>0.0</v>
      </c>
      <c r="Y24" s="4">
        <v>49.0</v>
      </c>
      <c r="Z24" s="4">
        <v>49.0</v>
      </c>
      <c r="AA24" s="4">
        <v>0.0</v>
      </c>
      <c r="AB24" s="4">
        <v>49.0</v>
      </c>
      <c r="AC24" s="5" t="s">
        <v>144</v>
      </c>
      <c r="AD24" s="5"/>
      <c r="AE24" s="5"/>
    </row>
    <row r="25">
      <c r="A25" s="4">
        <v>-8570407.7464</v>
      </c>
      <c r="B25" s="4">
        <v>4713596.374</v>
      </c>
      <c r="C25" s="4">
        <v>361656.0</v>
      </c>
      <c r="D25" s="5" t="s">
        <v>56</v>
      </c>
      <c r="E25" s="5" t="s">
        <v>145</v>
      </c>
      <c r="F25" s="5" t="s">
        <v>146</v>
      </c>
      <c r="G25" s="5" t="s">
        <v>33</v>
      </c>
      <c r="H25" s="5" t="s">
        <v>42</v>
      </c>
      <c r="I25" s="4">
        <v>10.0</v>
      </c>
      <c r="J25" s="4">
        <v>38.94357291</v>
      </c>
      <c r="K25" s="4">
        <v>-76.98938066</v>
      </c>
      <c r="L25" s="4">
        <v>0.0</v>
      </c>
      <c r="M25" s="4">
        <v>6.0</v>
      </c>
      <c r="N25" s="4">
        <v>0.0</v>
      </c>
      <c r="O25" s="4">
        <v>4.0</v>
      </c>
      <c r="P25" s="4">
        <v>0.0</v>
      </c>
      <c r="Q25" s="5" t="s">
        <v>147</v>
      </c>
      <c r="R25" s="4">
        <v>289610.0</v>
      </c>
      <c r="S25" s="4">
        <v>400929.29</v>
      </c>
      <c r="T25" s="4">
        <v>141744.77</v>
      </c>
      <c r="U25" s="5" t="s">
        <v>148</v>
      </c>
      <c r="V25" s="5" t="s">
        <v>36</v>
      </c>
      <c r="W25" s="4">
        <v>0.0</v>
      </c>
      <c r="X25" s="4">
        <v>0.0</v>
      </c>
      <c r="Y25" s="4">
        <v>10.0</v>
      </c>
      <c r="Z25" s="4">
        <v>10.0</v>
      </c>
      <c r="AA25" s="4">
        <v>70.0</v>
      </c>
      <c r="AB25" s="4">
        <v>80.0</v>
      </c>
      <c r="AC25" s="5" t="s">
        <v>149</v>
      </c>
      <c r="AD25" s="5"/>
      <c r="AE25" s="5"/>
    </row>
    <row r="26">
      <c r="A26" s="4">
        <v>-8571887.6456</v>
      </c>
      <c r="B26" s="4">
        <v>4708657.7277</v>
      </c>
      <c r="C26" s="4">
        <v>361657.0</v>
      </c>
      <c r="D26" s="5" t="s">
        <v>56</v>
      </c>
      <c r="E26" s="5" t="s">
        <v>150</v>
      </c>
      <c r="F26" s="5" t="s">
        <v>151</v>
      </c>
      <c r="G26" s="5" t="s">
        <v>33</v>
      </c>
      <c r="H26" s="5" t="s">
        <v>42</v>
      </c>
      <c r="I26" s="4">
        <v>30.0</v>
      </c>
      <c r="J26" s="4">
        <v>38.90908137</v>
      </c>
      <c r="K26" s="4">
        <v>-77.00257457</v>
      </c>
      <c r="L26" s="4">
        <v>0.0</v>
      </c>
      <c r="M26" s="4">
        <v>0.0</v>
      </c>
      <c r="N26" s="4">
        <v>7.0</v>
      </c>
      <c r="O26" s="4">
        <v>23.0</v>
      </c>
      <c r="P26" s="4">
        <v>0.0</v>
      </c>
      <c r="Q26" s="5" t="s">
        <v>152</v>
      </c>
      <c r="R26" s="4">
        <v>294857.0</v>
      </c>
      <c r="S26" s="4">
        <v>399776.7</v>
      </c>
      <c r="T26" s="4">
        <v>137913.41</v>
      </c>
      <c r="U26" s="5" t="s">
        <v>153</v>
      </c>
      <c r="V26" s="5" t="s">
        <v>36</v>
      </c>
      <c r="W26" s="4">
        <v>0.0</v>
      </c>
      <c r="X26" s="4">
        <v>0.0</v>
      </c>
      <c r="Y26" s="4">
        <v>30.0</v>
      </c>
      <c r="Z26" s="4">
        <v>30.0</v>
      </c>
      <c r="AA26" s="4">
        <v>357.0</v>
      </c>
      <c r="AB26" s="4">
        <v>387.0</v>
      </c>
      <c r="AC26" s="5" t="s">
        <v>154</v>
      </c>
      <c r="AD26" s="5"/>
      <c r="AE26" s="5"/>
    </row>
    <row r="27">
      <c r="A27" s="4">
        <v>-8572415.9997</v>
      </c>
      <c r="B27" s="4">
        <v>4703176.6221</v>
      </c>
      <c r="C27" s="4">
        <v>361658.0</v>
      </c>
      <c r="D27" s="5" t="s">
        <v>39</v>
      </c>
      <c r="E27" s="5" t="s">
        <v>155</v>
      </c>
      <c r="F27" s="5" t="s">
        <v>156</v>
      </c>
      <c r="G27" s="5" t="s">
        <v>33</v>
      </c>
      <c r="H27" s="5" t="s">
        <v>42</v>
      </c>
      <c r="I27" s="4">
        <v>23.0</v>
      </c>
      <c r="J27" s="4">
        <v>38.87075711</v>
      </c>
      <c r="K27" s="4">
        <v>-77.00732086</v>
      </c>
      <c r="L27" s="4">
        <v>0.0</v>
      </c>
      <c r="M27" s="4">
        <v>0.0</v>
      </c>
      <c r="N27" s="4">
        <v>6.0</v>
      </c>
      <c r="O27" s="4">
        <v>17.0</v>
      </c>
      <c r="P27" s="4">
        <v>0.0</v>
      </c>
      <c r="Q27" s="5" t="s">
        <v>157</v>
      </c>
      <c r="R27" s="4">
        <v>316290.0</v>
      </c>
      <c r="S27" s="4">
        <v>399364.7</v>
      </c>
      <c r="T27" s="4">
        <v>133659.14</v>
      </c>
      <c r="U27" s="5" t="s">
        <v>158</v>
      </c>
      <c r="V27" s="5" t="s">
        <v>36</v>
      </c>
      <c r="W27" s="4">
        <v>0.0</v>
      </c>
      <c r="X27" s="4">
        <v>0.0</v>
      </c>
      <c r="Y27" s="4">
        <v>23.0</v>
      </c>
      <c r="Z27" s="4">
        <v>23.0</v>
      </c>
      <c r="AA27" s="4">
        <v>237.0</v>
      </c>
      <c r="AB27" s="4">
        <v>260.0</v>
      </c>
      <c r="AC27" s="5" t="s">
        <v>159</v>
      </c>
      <c r="AD27" s="5"/>
      <c r="AE27" s="5"/>
    </row>
    <row r="28">
      <c r="A28" s="4">
        <v>-8571865.2374</v>
      </c>
      <c r="B28" s="4">
        <v>4708211.6368</v>
      </c>
      <c r="C28" s="4">
        <v>361660.0</v>
      </c>
      <c r="D28" s="5" t="s">
        <v>39</v>
      </c>
      <c r="E28" s="5" t="s">
        <v>160</v>
      </c>
      <c r="F28" s="5" t="s">
        <v>161</v>
      </c>
      <c r="G28" s="5" t="s">
        <v>33</v>
      </c>
      <c r="H28" s="5" t="s">
        <v>42</v>
      </c>
      <c r="I28" s="4">
        <v>51.0</v>
      </c>
      <c r="J28" s="4">
        <v>38.90596304</v>
      </c>
      <c r="K28" s="4">
        <v>-77.00237328</v>
      </c>
      <c r="L28" s="4">
        <v>0.0</v>
      </c>
      <c r="M28" s="4">
        <v>28.0</v>
      </c>
      <c r="N28" s="4">
        <v>0.0</v>
      </c>
      <c r="O28" s="4">
        <v>23.0</v>
      </c>
      <c r="P28" s="4">
        <v>0.0</v>
      </c>
      <c r="Q28" s="5" t="s">
        <v>162</v>
      </c>
      <c r="R28" s="4">
        <v>318385.0</v>
      </c>
      <c r="S28" s="4">
        <v>399794.15</v>
      </c>
      <c r="T28" s="4">
        <v>137567.25</v>
      </c>
      <c r="U28" s="5" t="s">
        <v>163</v>
      </c>
      <c r="V28" s="5" t="s">
        <v>36</v>
      </c>
      <c r="W28" s="4">
        <v>0.0</v>
      </c>
      <c r="X28" s="4">
        <v>0.0</v>
      </c>
      <c r="Y28" s="4">
        <v>51.0</v>
      </c>
      <c r="Z28" s="4">
        <v>51.0</v>
      </c>
      <c r="AA28" s="4">
        <v>589.0</v>
      </c>
      <c r="AB28" s="4">
        <v>640.0</v>
      </c>
      <c r="AC28" s="5" t="s">
        <v>164</v>
      </c>
      <c r="AD28" s="5"/>
      <c r="AE28" s="5"/>
    </row>
    <row r="29">
      <c r="A29" s="4">
        <v>-8571408.5927</v>
      </c>
      <c r="B29" s="4">
        <v>4708413.3798</v>
      </c>
      <c r="C29" s="4">
        <v>361661.0</v>
      </c>
      <c r="D29" s="5" t="s">
        <v>56</v>
      </c>
      <c r="E29" s="5" t="s">
        <v>165</v>
      </c>
      <c r="F29" s="5" t="s">
        <v>166</v>
      </c>
      <c r="G29" s="5" t="s">
        <v>33</v>
      </c>
      <c r="H29" s="5" t="s">
        <v>42</v>
      </c>
      <c r="I29" s="4">
        <v>28.0</v>
      </c>
      <c r="J29" s="4">
        <v>38.90729692</v>
      </c>
      <c r="K29" s="4">
        <v>-76.99805776</v>
      </c>
      <c r="L29" s="4">
        <v>0.0</v>
      </c>
      <c r="M29" s="4">
        <v>14.0</v>
      </c>
      <c r="N29" s="4">
        <v>0.0</v>
      </c>
      <c r="O29" s="4">
        <v>14.0</v>
      </c>
      <c r="P29" s="4">
        <v>0.0</v>
      </c>
      <c r="Q29" s="5" t="s">
        <v>167</v>
      </c>
      <c r="R29" s="4">
        <v>319661.0</v>
      </c>
      <c r="S29" s="4">
        <v>400149.95</v>
      </c>
      <c r="T29" s="4">
        <v>137723.8</v>
      </c>
      <c r="U29" s="5" t="s">
        <v>168</v>
      </c>
      <c r="V29" s="5" t="s">
        <v>36</v>
      </c>
      <c r="W29" s="4">
        <v>0.0</v>
      </c>
      <c r="X29" s="4">
        <v>0.0</v>
      </c>
      <c r="Y29" s="4">
        <v>28.0</v>
      </c>
      <c r="Z29" s="4">
        <v>28.0</v>
      </c>
      <c r="AA29" s="4">
        <v>251.0</v>
      </c>
      <c r="AB29" s="4">
        <v>279.0</v>
      </c>
      <c r="AC29" s="5" t="s">
        <v>169</v>
      </c>
      <c r="AD29" s="5"/>
      <c r="AE29" s="5"/>
    </row>
    <row r="30">
      <c r="A30" s="4">
        <v>-8569250.4327</v>
      </c>
      <c r="B30" s="4">
        <v>4707332.1406</v>
      </c>
      <c r="C30" s="4">
        <v>361662.0</v>
      </c>
      <c r="D30" s="5" t="s">
        <v>56</v>
      </c>
      <c r="E30" s="5" t="s">
        <v>170</v>
      </c>
      <c r="F30" s="5" t="s">
        <v>171</v>
      </c>
      <c r="G30" s="5" t="s">
        <v>33</v>
      </c>
      <c r="H30" s="5" t="s">
        <v>42</v>
      </c>
      <c r="I30" s="4">
        <v>17.0</v>
      </c>
      <c r="J30" s="4">
        <v>38.89981467</v>
      </c>
      <c r="K30" s="4">
        <v>-76.97888409</v>
      </c>
      <c r="L30" s="4">
        <v>0.0</v>
      </c>
      <c r="M30" s="4">
        <v>11.0</v>
      </c>
      <c r="N30" s="4">
        <v>0.0</v>
      </c>
      <c r="O30" s="4">
        <v>6.0</v>
      </c>
      <c r="P30" s="4">
        <v>0.0</v>
      </c>
      <c r="Q30" s="5" t="s">
        <v>172</v>
      </c>
      <c r="R30" s="4">
        <v>331261.0</v>
      </c>
      <c r="S30" s="4">
        <v>401831.68</v>
      </c>
      <c r="T30" s="4">
        <v>136884.94</v>
      </c>
      <c r="U30" s="5" t="s">
        <v>173</v>
      </c>
      <c r="V30" s="5" t="s">
        <v>36</v>
      </c>
      <c r="W30" s="4">
        <v>0.0</v>
      </c>
      <c r="X30" s="4">
        <v>0.0</v>
      </c>
      <c r="Y30" s="4">
        <v>17.0</v>
      </c>
      <c r="Z30" s="4">
        <v>17.0</v>
      </c>
      <c r="AA30" s="4">
        <v>174.0</v>
      </c>
      <c r="AB30" s="4">
        <v>191.0</v>
      </c>
      <c r="AC30" s="5" t="s">
        <v>174</v>
      </c>
      <c r="AD30" s="5"/>
      <c r="AE30" s="5"/>
    </row>
    <row r="31">
      <c r="A31" s="4">
        <v>-8571793.4329</v>
      </c>
      <c r="B31" s="4">
        <v>4708363.044</v>
      </c>
      <c r="C31" s="4">
        <v>361663.0</v>
      </c>
      <c r="D31" s="5" t="s">
        <v>39</v>
      </c>
      <c r="E31" s="5" t="s">
        <v>175</v>
      </c>
      <c r="F31" s="5" t="s">
        <v>176</v>
      </c>
      <c r="G31" s="5" t="s">
        <v>33</v>
      </c>
      <c r="H31" s="5" t="s">
        <v>42</v>
      </c>
      <c r="I31" s="4">
        <v>31.0</v>
      </c>
      <c r="J31" s="4">
        <v>38.90705466</v>
      </c>
      <c r="K31" s="4">
        <v>-77.00156269</v>
      </c>
      <c r="L31" s="4">
        <v>0.0</v>
      </c>
      <c r="M31" s="4">
        <v>12.0</v>
      </c>
      <c r="N31" s="4">
        <v>0.0</v>
      </c>
      <c r="O31" s="4">
        <v>19.0</v>
      </c>
      <c r="P31" s="4">
        <v>0.0</v>
      </c>
      <c r="Q31" s="5" t="s">
        <v>177</v>
      </c>
      <c r="R31" s="4">
        <v>287372.0</v>
      </c>
      <c r="S31" s="4">
        <v>399850.1</v>
      </c>
      <c r="T31" s="4">
        <v>137684.74</v>
      </c>
      <c r="U31" s="5" t="s">
        <v>178</v>
      </c>
      <c r="V31" s="5" t="s">
        <v>36</v>
      </c>
      <c r="W31" s="4">
        <v>0.0</v>
      </c>
      <c r="X31" s="4">
        <v>0.0</v>
      </c>
      <c r="Y31" s="4">
        <v>31.0</v>
      </c>
      <c r="Z31" s="4">
        <v>31.0</v>
      </c>
      <c r="AA31" s="4">
        <v>325.0</v>
      </c>
      <c r="AB31" s="4">
        <v>356.0</v>
      </c>
      <c r="AC31" s="5" t="s">
        <v>179</v>
      </c>
      <c r="AD31" s="5"/>
      <c r="AE31" s="5"/>
    </row>
    <row r="32">
      <c r="A32" s="4">
        <v>-8571699.8729</v>
      </c>
      <c r="B32" s="4">
        <v>4708645.4756</v>
      </c>
      <c r="C32" s="4">
        <v>361664.0</v>
      </c>
      <c r="D32" s="5" t="s">
        <v>56</v>
      </c>
      <c r="E32" s="5" t="s">
        <v>180</v>
      </c>
      <c r="F32" s="5" t="s">
        <v>181</v>
      </c>
      <c r="G32" s="5" t="s">
        <v>33</v>
      </c>
      <c r="H32" s="5" t="s">
        <v>42</v>
      </c>
      <c r="I32" s="4">
        <v>52.0</v>
      </c>
      <c r="J32" s="4">
        <v>38.90899572</v>
      </c>
      <c r="K32" s="4">
        <v>-77.00088778</v>
      </c>
      <c r="L32" s="4">
        <v>0.0</v>
      </c>
      <c r="M32" s="4">
        <v>26.0</v>
      </c>
      <c r="N32" s="4">
        <v>0.0</v>
      </c>
      <c r="O32" s="4">
        <v>26.0</v>
      </c>
      <c r="P32" s="4">
        <v>0.0</v>
      </c>
      <c r="Q32" s="5" t="s">
        <v>182</v>
      </c>
      <c r="R32" s="4">
        <v>146324.0</v>
      </c>
      <c r="S32" s="4">
        <v>399923.0</v>
      </c>
      <c r="T32" s="4">
        <v>137903.9</v>
      </c>
      <c r="U32" s="5" t="s">
        <v>183</v>
      </c>
      <c r="V32" s="5" t="s">
        <v>36</v>
      </c>
      <c r="W32" s="4">
        <v>0.0</v>
      </c>
      <c r="X32" s="4">
        <v>0.0</v>
      </c>
      <c r="Y32" s="4">
        <v>52.0</v>
      </c>
      <c r="Z32" s="4">
        <v>52.0</v>
      </c>
      <c r="AA32" s="4">
        <v>399.0</v>
      </c>
      <c r="AB32" s="4">
        <v>451.0</v>
      </c>
      <c r="AC32" s="5" t="s">
        <v>184</v>
      </c>
      <c r="AD32" s="5"/>
      <c r="AE32" s="5"/>
    </row>
    <row r="33">
      <c r="A33" s="4">
        <v>-8571897.0903</v>
      </c>
      <c r="B33" s="4">
        <v>4709039.7609</v>
      </c>
      <c r="C33" s="4">
        <v>361666.0</v>
      </c>
      <c r="D33" s="5" t="s">
        <v>56</v>
      </c>
      <c r="E33" s="5" t="s">
        <v>185</v>
      </c>
      <c r="F33" s="5" t="s">
        <v>186</v>
      </c>
      <c r="G33" s="5" t="s">
        <v>33</v>
      </c>
      <c r="H33" s="5" t="s">
        <v>42</v>
      </c>
      <c r="I33" s="4">
        <v>59.0</v>
      </c>
      <c r="J33" s="4">
        <v>38.9117518</v>
      </c>
      <c r="K33" s="4">
        <v>-77.00265942</v>
      </c>
      <c r="L33" s="4">
        <v>0.0</v>
      </c>
      <c r="M33" s="4">
        <v>29.0</v>
      </c>
      <c r="N33" s="4">
        <v>0.0</v>
      </c>
      <c r="O33" s="4">
        <v>30.0</v>
      </c>
      <c r="P33" s="4">
        <v>0.0</v>
      </c>
      <c r="Q33" s="5" t="s">
        <v>187</v>
      </c>
      <c r="R33" s="4">
        <v>301737.0</v>
      </c>
      <c r="S33" s="4">
        <v>399769.35</v>
      </c>
      <c r="T33" s="4">
        <v>138209.85</v>
      </c>
      <c r="U33" s="5" t="s">
        <v>188</v>
      </c>
      <c r="V33" s="5" t="s">
        <v>36</v>
      </c>
      <c r="W33" s="4">
        <v>0.0</v>
      </c>
      <c r="X33" s="4">
        <v>0.0</v>
      </c>
      <c r="Y33" s="4">
        <v>59.0</v>
      </c>
      <c r="Z33" s="4">
        <v>59.0</v>
      </c>
      <c r="AA33" s="4">
        <v>622.0</v>
      </c>
      <c r="AB33" s="4">
        <v>681.0</v>
      </c>
      <c r="AC33" s="5" t="s">
        <v>189</v>
      </c>
      <c r="AD33" s="5"/>
      <c r="AE33" s="5"/>
    </row>
    <row r="34">
      <c r="A34" s="4">
        <v>-8569929.3624</v>
      </c>
      <c r="B34" s="4">
        <v>4704465.6944</v>
      </c>
      <c r="C34" s="4">
        <v>361667.0</v>
      </c>
      <c r="D34" s="5" t="s">
        <v>39</v>
      </c>
      <c r="E34" s="5" t="s">
        <v>190</v>
      </c>
      <c r="F34" s="5" t="s">
        <v>191</v>
      </c>
      <c r="G34" s="5" t="s">
        <v>33</v>
      </c>
      <c r="H34" s="5" t="s">
        <v>42</v>
      </c>
      <c r="I34" s="4">
        <v>13.0</v>
      </c>
      <c r="J34" s="4">
        <v>38.87977225</v>
      </c>
      <c r="K34" s="4">
        <v>-76.98498302</v>
      </c>
      <c r="L34" s="4">
        <v>0.0</v>
      </c>
      <c r="M34" s="4">
        <v>4.0</v>
      </c>
      <c r="N34" s="4">
        <v>0.0</v>
      </c>
      <c r="O34" s="4">
        <v>9.0</v>
      </c>
      <c r="P34" s="4">
        <v>0.0</v>
      </c>
      <c r="Q34" s="5" t="s">
        <v>192</v>
      </c>
      <c r="R34" s="4">
        <v>65127.0</v>
      </c>
      <c r="S34" s="4">
        <v>401303.0</v>
      </c>
      <c r="T34" s="4">
        <v>134659.97</v>
      </c>
      <c r="U34" s="5" t="s">
        <v>193</v>
      </c>
      <c r="V34" s="5" t="s">
        <v>36</v>
      </c>
      <c r="W34" s="4">
        <v>0.0</v>
      </c>
      <c r="X34" s="4">
        <v>0.0</v>
      </c>
      <c r="Y34" s="4">
        <v>13.0</v>
      </c>
      <c r="Z34" s="4">
        <v>13.0</v>
      </c>
      <c r="AA34" s="4">
        <v>155.0</v>
      </c>
      <c r="AB34" s="4">
        <v>168.0</v>
      </c>
      <c r="AC34" s="5" t="s">
        <v>194</v>
      </c>
      <c r="AD34" s="5"/>
      <c r="AE34" s="5"/>
    </row>
    <row r="35">
      <c r="A35" s="4">
        <v>-8571780.1077</v>
      </c>
      <c r="B35" s="4">
        <v>4708187.9274</v>
      </c>
      <c r="C35" s="4">
        <v>361668.0</v>
      </c>
      <c r="D35" s="5" t="s">
        <v>39</v>
      </c>
      <c r="E35" s="5" t="s">
        <v>195</v>
      </c>
      <c r="F35" s="5" t="s">
        <v>196</v>
      </c>
      <c r="G35" s="5" t="s">
        <v>33</v>
      </c>
      <c r="H35" s="5" t="s">
        <v>42</v>
      </c>
      <c r="I35" s="4">
        <v>37.0</v>
      </c>
      <c r="J35" s="4">
        <v>38.90579764</v>
      </c>
      <c r="K35" s="4">
        <v>-77.00160854</v>
      </c>
      <c r="L35" s="4">
        <v>0.0</v>
      </c>
      <c r="M35" s="4">
        <v>9.0</v>
      </c>
      <c r="N35" s="4">
        <v>0.0</v>
      </c>
      <c r="O35" s="4">
        <v>28.0</v>
      </c>
      <c r="P35" s="4">
        <v>0.0</v>
      </c>
      <c r="Q35" s="5" t="s">
        <v>197</v>
      </c>
      <c r="R35" s="4">
        <v>287344.0</v>
      </c>
      <c r="S35" s="4">
        <v>399860.48</v>
      </c>
      <c r="T35" s="4">
        <v>137548.85</v>
      </c>
      <c r="U35" s="5" t="s">
        <v>198</v>
      </c>
      <c r="V35" s="5" t="s">
        <v>36</v>
      </c>
      <c r="W35" s="4">
        <v>0.0</v>
      </c>
      <c r="X35" s="4">
        <v>0.0</v>
      </c>
      <c r="Y35" s="4">
        <v>37.0</v>
      </c>
      <c r="Z35" s="4">
        <v>37.0</v>
      </c>
      <c r="AA35" s="4">
        <v>420.0</v>
      </c>
      <c r="AB35" s="4">
        <v>457.0</v>
      </c>
      <c r="AC35" s="5" t="s">
        <v>199</v>
      </c>
      <c r="AD35" s="5"/>
      <c r="AE35" s="5"/>
    </row>
    <row r="36">
      <c r="A36" s="4">
        <v>-8572315.2157</v>
      </c>
      <c r="B36" s="4">
        <v>4697564.7561</v>
      </c>
      <c r="C36" s="4">
        <v>361682.0</v>
      </c>
      <c r="D36" s="5" t="s">
        <v>45</v>
      </c>
      <c r="E36" s="5" t="s">
        <v>200</v>
      </c>
      <c r="F36" s="5" t="s">
        <v>201</v>
      </c>
      <c r="G36" s="5" t="s">
        <v>33</v>
      </c>
      <c r="H36" s="5" t="s">
        <v>34</v>
      </c>
      <c r="I36" s="4">
        <v>15.0</v>
      </c>
      <c r="J36" s="4">
        <v>38.83149748</v>
      </c>
      <c r="K36" s="4">
        <v>-77.0064155</v>
      </c>
      <c r="L36" s="4">
        <v>7.0</v>
      </c>
      <c r="M36" s="4">
        <v>5.0</v>
      </c>
      <c r="N36" s="4">
        <v>3.0</v>
      </c>
      <c r="O36" s="4">
        <v>0.0</v>
      </c>
      <c r="P36" s="4">
        <v>0.0</v>
      </c>
      <c r="Q36" s="5"/>
      <c r="R36" s="4">
        <v>50871.0</v>
      </c>
      <c r="S36" s="4">
        <v>399442.96</v>
      </c>
      <c r="T36" s="4">
        <v>129301.0</v>
      </c>
      <c r="U36" s="5" t="s">
        <v>202</v>
      </c>
      <c r="V36" s="5" t="s">
        <v>36</v>
      </c>
      <c r="W36" s="4">
        <v>15.0</v>
      </c>
      <c r="X36" s="4">
        <v>0.0</v>
      </c>
      <c r="Y36" s="4">
        <v>0.0</v>
      </c>
      <c r="Z36" s="4">
        <v>0.0</v>
      </c>
      <c r="AA36" s="4">
        <v>0.0</v>
      </c>
      <c r="AB36" s="4">
        <v>15.0</v>
      </c>
      <c r="AC36" s="5" t="s">
        <v>203</v>
      </c>
      <c r="AD36" s="5"/>
      <c r="AE36" s="7" t="s">
        <v>50</v>
      </c>
    </row>
    <row r="37">
      <c r="A37" s="4">
        <v>-8574183.191</v>
      </c>
      <c r="B37" s="4">
        <v>4708542.9265</v>
      </c>
      <c r="C37" s="4">
        <v>361699.0</v>
      </c>
      <c r="D37" s="5" t="s">
        <v>39</v>
      </c>
      <c r="E37" s="5" t="s">
        <v>204</v>
      </c>
      <c r="F37" s="5" t="s">
        <v>205</v>
      </c>
      <c r="G37" s="5" t="s">
        <v>33</v>
      </c>
      <c r="H37" s="5" t="s">
        <v>72</v>
      </c>
      <c r="I37" s="4">
        <v>24.0</v>
      </c>
      <c r="J37" s="4">
        <v>38.90824528</v>
      </c>
      <c r="K37" s="4">
        <v>-77.02318714</v>
      </c>
      <c r="L37" s="4">
        <v>0.0</v>
      </c>
      <c r="M37" s="4">
        <v>12.0</v>
      </c>
      <c r="N37" s="4">
        <v>0.0</v>
      </c>
      <c r="O37" s="4">
        <v>12.0</v>
      </c>
      <c r="P37" s="4">
        <v>0.0</v>
      </c>
      <c r="Q37" s="5" t="s">
        <v>206</v>
      </c>
      <c r="R37" s="4">
        <v>319628.0</v>
      </c>
      <c r="S37" s="4">
        <v>397988.14</v>
      </c>
      <c r="T37" s="4">
        <v>137824.58</v>
      </c>
      <c r="U37" s="5" t="s">
        <v>207</v>
      </c>
      <c r="V37" s="5" t="s">
        <v>36</v>
      </c>
      <c r="W37" s="4">
        <v>0.0</v>
      </c>
      <c r="X37" s="4">
        <v>0.0</v>
      </c>
      <c r="Y37" s="4">
        <v>24.0</v>
      </c>
      <c r="Z37" s="4">
        <v>24.0</v>
      </c>
      <c r="AA37" s="4">
        <v>55.0</v>
      </c>
      <c r="AB37" s="4">
        <v>79.0</v>
      </c>
      <c r="AC37" s="5" t="s">
        <v>208</v>
      </c>
      <c r="AD37" s="5"/>
      <c r="AE37" s="5"/>
    </row>
    <row r="38">
      <c r="A38" s="4">
        <v>-8571289.3833</v>
      </c>
      <c r="B38" s="4">
        <v>4701779.4541</v>
      </c>
      <c r="C38" s="4">
        <v>361704.0</v>
      </c>
      <c r="D38" s="5" t="s">
        <v>45</v>
      </c>
      <c r="E38" s="5" t="s">
        <v>209</v>
      </c>
      <c r="F38" s="5" t="s">
        <v>210</v>
      </c>
      <c r="G38" s="5" t="s">
        <v>33</v>
      </c>
      <c r="H38" s="5" t="s">
        <v>126</v>
      </c>
      <c r="I38" s="4">
        <v>108.0</v>
      </c>
      <c r="J38" s="4">
        <v>38.86098471</v>
      </c>
      <c r="K38" s="4">
        <v>-76.9972003</v>
      </c>
      <c r="L38" s="4">
        <v>33.0</v>
      </c>
      <c r="M38" s="4">
        <v>44.0</v>
      </c>
      <c r="N38" s="4">
        <v>21.0</v>
      </c>
      <c r="O38" s="4">
        <v>10.0</v>
      </c>
      <c r="P38" s="4">
        <v>0.0</v>
      </c>
      <c r="Q38" s="5"/>
      <c r="R38" s="4">
        <v>149820.0</v>
      </c>
      <c r="S38" s="4">
        <v>400242.99</v>
      </c>
      <c r="T38" s="4">
        <v>132574.31</v>
      </c>
      <c r="U38" s="5" t="s">
        <v>211</v>
      </c>
      <c r="V38" s="5" t="s">
        <v>36</v>
      </c>
      <c r="W38" s="4">
        <v>77.0</v>
      </c>
      <c r="X38" s="4">
        <v>0.0</v>
      </c>
      <c r="Y38" s="4">
        <v>31.0</v>
      </c>
      <c r="Z38" s="4">
        <v>31.0</v>
      </c>
      <c r="AA38" s="4">
        <v>0.0</v>
      </c>
      <c r="AB38" s="4">
        <v>108.0</v>
      </c>
      <c r="AC38" s="5" t="s">
        <v>212</v>
      </c>
      <c r="AD38" s="5"/>
      <c r="AE38" s="7" t="s">
        <v>50</v>
      </c>
    </row>
    <row r="39">
      <c r="A39" s="4">
        <v>-8572524.0455</v>
      </c>
      <c r="B39" s="4">
        <v>4708101.0834</v>
      </c>
      <c r="C39" s="4">
        <v>361714.0</v>
      </c>
      <c r="D39" s="5" t="s">
        <v>39</v>
      </c>
      <c r="E39" s="5" t="s">
        <v>213</v>
      </c>
      <c r="F39" s="5" t="s">
        <v>214</v>
      </c>
      <c r="G39" s="5" t="s">
        <v>33</v>
      </c>
      <c r="H39" s="5" t="s">
        <v>215</v>
      </c>
      <c r="I39" s="4">
        <v>86.0</v>
      </c>
      <c r="J39" s="4">
        <v>38.90519022</v>
      </c>
      <c r="K39" s="4">
        <v>-77.00829145</v>
      </c>
      <c r="L39" s="4">
        <v>43.0</v>
      </c>
      <c r="M39" s="4">
        <v>0.0</v>
      </c>
      <c r="N39" s="4">
        <v>43.0</v>
      </c>
      <c r="O39" s="4">
        <v>0.0</v>
      </c>
      <c r="P39" s="4">
        <v>0.0</v>
      </c>
      <c r="Q39" s="5"/>
      <c r="R39" s="4">
        <v>149791.0</v>
      </c>
      <c r="S39" s="4">
        <v>399280.82</v>
      </c>
      <c r="T39" s="4">
        <v>137481.49</v>
      </c>
      <c r="U39" s="5" t="s">
        <v>216</v>
      </c>
      <c r="V39" s="5" t="s">
        <v>36</v>
      </c>
      <c r="W39" s="4">
        <v>0.0</v>
      </c>
      <c r="X39" s="4">
        <v>0.0</v>
      </c>
      <c r="Y39" s="4">
        <v>86.0</v>
      </c>
      <c r="Z39" s="4">
        <v>86.0</v>
      </c>
      <c r="AA39" s="4">
        <v>344.0</v>
      </c>
      <c r="AB39" s="4">
        <v>430.0</v>
      </c>
      <c r="AC39" s="5" t="s">
        <v>217</v>
      </c>
      <c r="AD39" s="5"/>
      <c r="AE39" s="7" t="s">
        <v>50</v>
      </c>
    </row>
    <row r="40">
      <c r="A40" s="4">
        <v>-8569757.6254</v>
      </c>
      <c r="B40" s="4">
        <v>4707457.1712</v>
      </c>
      <c r="C40" s="4">
        <v>361716.0</v>
      </c>
      <c r="D40" s="5" t="s">
        <v>56</v>
      </c>
      <c r="E40" s="5" t="s">
        <v>218</v>
      </c>
      <c r="F40" s="5" t="s">
        <v>219</v>
      </c>
      <c r="G40" s="5" t="s">
        <v>33</v>
      </c>
      <c r="H40" s="5" t="s">
        <v>81</v>
      </c>
      <c r="I40" s="4">
        <v>179.0</v>
      </c>
      <c r="J40" s="4">
        <v>38.90068876</v>
      </c>
      <c r="K40" s="4">
        <v>-76.98344028</v>
      </c>
      <c r="L40" s="4">
        <v>179.0</v>
      </c>
      <c r="M40" s="4">
        <v>0.0</v>
      </c>
      <c r="N40" s="4">
        <v>0.0</v>
      </c>
      <c r="O40" s="4">
        <v>0.0</v>
      </c>
      <c r="P40" s="4">
        <v>0.0</v>
      </c>
      <c r="Q40" s="5"/>
      <c r="R40" s="4">
        <v>316453.0</v>
      </c>
      <c r="S40" s="4">
        <v>401436.44</v>
      </c>
      <c r="T40" s="4">
        <v>136981.89</v>
      </c>
      <c r="U40" s="5" t="s">
        <v>220</v>
      </c>
      <c r="V40" s="5" t="s">
        <v>36</v>
      </c>
      <c r="W40" s="4">
        <v>149.0</v>
      </c>
      <c r="X40" s="4">
        <v>0.0</v>
      </c>
      <c r="Y40" s="4">
        <v>30.0</v>
      </c>
      <c r="Z40" s="4">
        <v>30.0</v>
      </c>
      <c r="AA40" s="4">
        <v>0.0</v>
      </c>
      <c r="AB40" s="4">
        <v>179.0</v>
      </c>
      <c r="AC40" s="5" t="s">
        <v>221</v>
      </c>
      <c r="AD40" s="5"/>
      <c r="AE40" s="7" t="s">
        <v>50</v>
      </c>
    </row>
    <row r="41">
      <c r="A41" s="4">
        <v>-8568984.2643</v>
      </c>
      <c r="B41" s="4">
        <v>4705319.3284</v>
      </c>
      <c r="C41" s="4">
        <v>361727.0</v>
      </c>
      <c r="D41" s="5" t="s">
        <v>30</v>
      </c>
      <c r="E41" s="5" t="s">
        <v>222</v>
      </c>
      <c r="F41" s="5" t="s">
        <v>223</v>
      </c>
      <c r="G41" s="5" t="s">
        <v>33</v>
      </c>
      <c r="H41" s="5" t="s">
        <v>72</v>
      </c>
      <c r="I41" s="4">
        <v>100.0</v>
      </c>
      <c r="J41" s="4">
        <v>38.88574152</v>
      </c>
      <c r="K41" s="4">
        <v>-76.97649306</v>
      </c>
      <c r="L41" s="4">
        <v>100.0</v>
      </c>
      <c r="M41" s="4">
        <v>0.0</v>
      </c>
      <c r="N41" s="4">
        <v>0.0</v>
      </c>
      <c r="O41" s="4">
        <v>0.0</v>
      </c>
      <c r="P41" s="4">
        <v>0.0</v>
      </c>
      <c r="Q41" s="5" t="s">
        <v>224</v>
      </c>
      <c r="R41" s="4">
        <v>314741.0</v>
      </c>
      <c r="S41" s="4">
        <v>402039.49</v>
      </c>
      <c r="T41" s="4">
        <v>135322.76</v>
      </c>
      <c r="U41" s="5" t="s">
        <v>225</v>
      </c>
      <c r="V41" s="5" t="s">
        <v>36</v>
      </c>
      <c r="W41" s="4">
        <v>0.0</v>
      </c>
      <c r="X41" s="4">
        <v>0.0</v>
      </c>
      <c r="Y41" s="4">
        <v>100.0</v>
      </c>
      <c r="Z41" s="4">
        <v>100.0</v>
      </c>
      <c r="AA41" s="4">
        <v>0.0</v>
      </c>
      <c r="AB41" s="4">
        <v>100.0</v>
      </c>
      <c r="AC41" s="5" t="s">
        <v>226</v>
      </c>
      <c r="AD41" s="5"/>
      <c r="AE41" s="5"/>
    </row>
    <row r="42">
      <c r="A42" s="4">
        <v>-8572703.145</v>
      </c>
      <c r="B42" s="4">
        <v>4707864.7179</v>
      </c>
      <c r="C42" s="4">
        <v>361742.0</v>
      </c>
      <c r="D42" s="5" t="s">
        <v>39</v>
      </c>
      <c r="E42" s="5" t="s">
        <v>227</v>
      </c>
      <c r="F42" s="5" t="s">
        <v>228</v>
      </c>
      <c r="G42" s="5" t="s">
        <v>33</v>
      </c>
      <c r="H42" s="5" t="s">
        <v>229</v>
      </c>
      <c r="I42" s="4">
        <v>150.0</v>
      </c>
      <c r="J42" s="4">
        <v>38.90353787</v>
      </c>
      <c r="K42" s="4">
        <v>-77.00990033</v>
      </c>
      <c r="L42" s="4">
        <v>77.0</v>
      </c>
      <c r="M42" s="4">
        <v>0.0</v>
      </c>
      <c r="N42" s="4">
        <v>73.0</v>
      </c>
      <c r="O42" s="4">
        <v>0.0</v>
      </c>
      <c r="P42" s="4">
        <v>0.0</v>
      </c>
      <c r="Q42" s="5"/>
      <c r="R42" s="4">
        <v>300442.0</v>
      </c>
      <c r="S42" s="4">
        <v>399141.25</v>
      </c>
      <c r="T42" s="4">
        <v>137298.08</v>
      </c>
      <c r="U42" s="5" t="s">
        <v>230</v>
      </c>
      <c r="V42" s="5" t="s">
        <v>36</v>
      </c>
      <c r="W42" s="4">
        <v>65.0</v>
      </c>
      <c r="X42" s="4">
        <v>0.0</v>
      </c>
      <c r="Y42" s="4">
        <v>85.0</v>
      </c>
      <c r="Z42" s="4">
        <v>85.0</v>
      </c>
      <c r="AA42" s="4">
        <v>70.0</v>
      </c>
      <c r="AB42" s="4">
        <v>220.0</v>
      </c>
      <c r="AC42" s="5" t="s">
        <v>231</v>
      </c>
      <c r="AD42" s="5"/>
      <c r="AE42" s="7" t="s">
        <v>50</v>
      </c>
    </row>
    <row r="43">
      <c r="A43" s="4">
        <v>-8574000.8878</v>
      </c>
      <c r="B43" s="4">
        <v>4709196.1179</v>
      </c>
      <c r="C43" s="4">
        <v>361744.0</v>
      </c>
      <c r="D43" s="5" t="s">
        <v>39</v>
      </c>
      <c r="E43" s="5" t="s">
        <v>232</v>
      </c>
      <c r="F43" s="5" t="s">
        <v>233</v>
      </c>
      <c r="G43" s="5" t="s">
        <v>33</v>
      </c>
      <c r="H43" s="5" t="s">
        <v>63</v>
      </c>
      <c r="I43" s="4">
        <v>108.0</v>
      </c>
      <c r="J43" s="4">
        <v>38.91287832</v>
      </c>
      <c r="K43" s="4">
        <v>-77.02151538</v>
      </c>
      <c r="L43" s="4">
        <v>9.0</v>
      </c>
      <c r="M43" s="4">
        <v>41.0</v>
      </c>
      <c r="N43" s="4">
        <v>52.0</v>
      </c>
      <c r="O43" s="4">
        <v>6.0</v>
      </c>
      <c r="P43" s="4">
        <v>0.0</v>
      </c>
      <c r="Q43" s="5"/>
      <c r="R43" s="4">
        <v>334861.0</v>
      </c>
      <c r="S43" s="4">
        <v>398130.3</v>
      </c>
      <c r="T43" s="4">
        <v>138331.39</v>
      </c>
      <c r="U43" s="5" t="s">
        <v>234</v>
      </c>
      <c r="V43" s="5" t="s">
        <v>36</v>
      </c>
      <c r="W43" s="4">
        <v>0.0</v>
      </c>
      <c r="X43" s="4">
        <v>0.0</v>
      </c>
      <c r="Y43" s="4">
        <v>108.0</v>
      </c>
      <c r="Z43" s="4">
        <v>108.0</v>
      </c>
      <c r="AA43" s="4">
        <v>2.0</v>
      </c>
      <c r="AB43" s="4">
        <v>110.0</v>
      </c>
      <c r="AC43" s="5" t="s">
        <v>235</v>
      </c>
      <c r="AD43" s="5"/>
      <c r="AE43" s="7" t="s">
        <v>50</v>
      </c>
    </row>
    <row r="44">
      <c r="A44" s="4">
        <v>-8574114.3325</v>
      </c>
      <c r="B44" s="4">
        <v>4712030.7175</v>
      </c>
      <c r="C44" s="4">
        <v>361745.0</v>
      </c>
      <c r="D44" s="5" t="s">
        <v>114</v>
      </c>
      <c r="E44" s="5" t="s">
        <v>236</v>
      </c>
      <c r="F44" s="5" t="s">
        <v>237</v>
      </c>
      <c r="G44" s="5" t="s">
        <v>33</v>
      </c>
      <c r="H44" s="5" t="s">
        <v>126</v>
      </c>
      <c r="I44" s="4">
        <v>142.0</v>
      </c>
      <c r="J44" s="4">
        <v>38.93276032</v>
      </c>
      <c r="K44" s="4">
        <v>-77.0219841</v>
      </c>
      <c r="L44" s="4">
        <v>31.0</v>
      </c>
      <c r="M44" s="4">
        <v>24.0</v>
      </c>
      <c r="N44" s="4">
        <v>48.0</v>
      </c>
      <c r="O44" s="4">
        <v>39.0</v>
      </c>
      <c r="P44" s="4">
        <v>0.0</v>
      </c>
      <c r="Q44" s="5" t="s">
        <v>238</v>
      </c>
      <c r="R44" s="4">
        <v>228839.0</v>
      </c>
      <c r="S44" s="4">
        <v>398042.46</v>
      </c>
      <c r="T44" s="4">
        <v>140530.55</v>
      </c>
      <c r="U44" s="5" t="s">
        <v>239</v>
      </c>
      <c r="V44" s="5" t="s">
        <v>36</v>
      </c>
      <c r="W44" s="4">
        <v>40.0</v>
      </c>
      <c r="X44" s="4">
        <v>0.0</v>
      </c>
      <c r="Y44" s="4">
        <v>102.0</v>
      </c>
      <c r="Z44" s="4">
        <v>102.0</v>
      </c>
      <c r="AA44" s="4">
        <v>0.0</v>
      </c>
      <c r="AB44" s="4">
        <v>142.0</v>
      </c>
      <c r="AC44" s="5" t="s">
        <v>240</v>
      </c>
      <c r="AD44" s="5"/>
      <c r="AE44" s="5"/>
    </row>
    <row r="45">
      <c r="A45" s="4">
        <v>-8572874.326</v>
      </c>
      <c r="B45" s="4">
        <v>4704506.8197</v>
      </c>
      <c r="C45" s="4">
        <v>361750.0</v>
      </c>
      <c r="D45" s="5" t="s">
        <v>39</v>
      </c>
      <c r="E45" s="5" t="s">
        <v>241</v>
      </c>
      <c r="F45" s="5" t="s">
        <v>242</v>
      </c>
      <c r="G45" s="5" t="s">
        <v>33</v>
      </c>
      <c r="H45" s="5" t="s">
        <v>72</v>
      </c>
      <c r="I45" s="4">
        <v>98.0</v>
      </c>
      <c r="J45" s="4">
        <v>38.88011362</v>
      </c>
      <c r="K45" s="4">
        <v>-77.01142921</v>
      </c>
      <c r="L45" s="4">
        <v>0.0</v>
      </c>
      <c r="M45" s="4">
        <v>0.0</v>
      </c>
      <c r="N45" s="4">
        <v>6.0</v>
      </c>
      <c r="O45" s="4">
        <v>92.0</v>
      </c>
      <c r="P45" s="4">
        <v>0.0</v>
      </c>
      <c r="Q45" s="5" t="s">
        <v>243</v>
      </c>
      <c r="R45" s="4">
        <v>334683.0</v>
      </c>
      <c r="S45" s="4">
        <v>399007.54</v>
      </c>
      <c r="T45" s="4">
        <v>134691.85</v>
      </c>
      <c r="U45" s="5" t="s">
        <v>244</v>
      </c>
      <c r="V45" s="5" t="s">
        <v>36</v>
      </c>
      <c r="W45" s="4">
        <v>0.0</v>
      </c>
      <c r="X45" s="4">
        <v>0.0</v>
      </c>
      <c r="Y45" s="4">
        <v>98.0</v>
      </c>
      <c r="Z45" s="4">
        <v>98.0</v>
      </c>
      <c r="AA45" s="4">
        <v>394.0</v>
      </c>
      <c r="AB45" s="4">
        <v>492.0</v>
      </c>
      <c r="AC45" s="5" t="s">
        <v>245</v>
      </c>
      <c r="AD45" s="5"/>
      <c r="AE45" s="5"/>
    </row>
    <row r="46">
      <c r="A46" s="4">
        <v>-8570674.5103</v>
      </c>
      <c r="B46" s="4">
        <v>4699679.6969</v>
      </c>
      <c r="C46" s="4">
        <v>361754.0</v>
      </c>
      <c r="D46" s="5" t="s">
        <v>45</v>
      </c>
      <c r="E46" s="5" t="s">
        <v>246</v>
      </c>
      <c r="F46" s="5" t="s">
        <v>247</v>
      </c>
      <c r="G46" s="5" t="s">
        <v>33</v>
      </c>
      <c r="H46" s="5" t="s">
        <v>63</v>
      </c>
      <c r="I46" s="4">
        <v>202.0</v>
      </c>
      <c r="J46" s="4">
        <v>38.84627882</v>
      </c>
      <c r="K46" s="4">
        <v>-76.99172346</v>
      </c>
      <c r="L46" s="4">
        <v>19.0</v>
      </c>
      <c r="M46" s="4">
        <v>183.0</v>
      </c>
      <c r="N46" s="4">
        <v>0.0</v>
      </c>
      <c r="O46" s="4">
        <v>0.0</v>
      </c>
      <c r="P46" s="4">
        <v>0.0</v>
      </c>
      <c r="Q46" s="5"/>
      <c r="R46" s="4">
        <v>317136.0</v>
      </c>
      <c r="S46" s="4">
        <v>400722.53</v>
      </c>
      <c r="T46" s="4">
        <v>130943.74</v>
      </c>
      <c r="U46" s="5" t="s">
        <v>248</v>
      </c>
      <c r="V46" s="5" t="s">
        <v>36</v>
      </c>
      <c r="W46" s="4">
        <v>0.0</v>
      </c>
      <c r="X46" s="4">
        <v>0.0</v>
      </c>
      <c r="Y46" s="4">
        <v>202.0</v>
      </c>
      <c r="Z46" s="4">
        <v>202.0</v>
      </c>
      <c r="AA46" s="4">
        <v>50.0</v>
      </c>
      <c r="AB46" s="4">
        <v>252.0</v>
      </c>
      <c r="AC46" s="5" t="s">
        <v>249</v>
      </c>
      <c r="AD46" s="5"/>
      <c r="AE46" s="7" t="s">
        <v>50</v>
      </c>
    </row>
    <row r="47">
      <c r="A47" s="4">
        <v>-8574364.7112</v>
      </c>
      <c r="B47" s="4">
        <v>4710154.485</v>
      </c>
      <c r="C47" s="4">
        <v>361756.0</v>
      </c>
      <c r="D47" s="5" t="s">
        <v>114</v>
      </c>
      <c r="E47" s="5" t="s">
        <v>250</v>
      </c>
      <c r="F47" s="5" t="s">
        <v>251</v>
      </c>
      <c r="G47" s="5" t="s">
        <v>33</v>
      </c>
      <c r="H47" s="5" t="s">
        <v>252</v>
      </c>
      <c r="I47" s="4">
        <v>132.0</v>
      </c>
      <c r="J47" s="4">
        <v>38.9195432</v>
      </c>
      <c r="K47" s="4">
        <v>-77.02482642</v>
      </c>
      <c r="L47" s="4">
        <v>33.0</v>
      </c>
      <c r="M47" s="4">
        <v>99.0</v>
      </c>
      <c r="N47" s="4">
        <v>0.0</v>
      </c>
      <c r="O47" s="4">
        <v>0.0</v>
      </c>
      <c r="P47" s="4">
        <v>0.0</v>
      </c>
      <c r="Q47" s="5" t="s">
        <v>253</v>
      </c>
      <c r="R47" s="4">
        <v>290008.0</v>
      </c>
      <c r="S47" s="4">
        <v>397847.05</v>
      </c>
      <c r="T47" s="4">
        <v>139075.05</v>
      </c>
      <c r="U47" s="5" t="s">
        <v>254</v>
      </c>
      <c r="V47" s="5" t="s">
        <v>36</v>
      </c>
      <c r="W47" s="4">
        <v>0.0</v>
      </c>
      <c r="X47" s="4">
        <v>0.0</v>
      </c>
      <c r="Y47" s="4">
        <v>132.0</v>
      </c>
      <c r="Z47" s="4">
        <v>132.0</v>
      </c>
      <c r="AA47" s="4">
        <v>301.0</v>
      </c>
      <c r="AB47" s="4">
        <v>433.0</v>
      </c>
      <c r="AC47" s="5" t="s">
        <v>255</v>
      </c>
      <c r="AD47" s="5"/>
      <c r="AE47" s="5"/>
    </row>
    <row r="48">
      <c r="A48" s="4">
        <v>-8572494.264</v>
      </c>
      <c r="B48" s="4">
        <v>4697482.9713</v>
      </c>
      <c r="C48" s="4">
        <v>361759.0</v>
      </c>
      <c r="D48" s="5" t="s">
        <v>45</v>
      </c>
      <c r="E48" s="5" t="s">
        <v>256</v>
      </c>
      <c r="F48" s="5" t="s">
        <v>257</v>
      </c>
      <c r="G48" s="5" t="s">
        <v>33</v>
      </c>
      <c r="H48" s="5" t="s">
        <v>258</v>
      </c>
      <c r="I48" s="4">
        <v>195.0</v>
      </c>
      <c r="J48" s="4">
        <v>38.83092483</v>
      </c>
      <c r="K48" s="4">
        <v>-77.00802392</v>
      </c>
      <c r="L48" s="4">
        <v>78.0</v>
      </c>
      <c r="M48" s="4">
        <v>78.0</v>
      </c>
      <c r="N48" s="4">
        <v>39.0</v>
      </c>
      <c r="O48" s="4">
        <v>0.0</v>
      </c>
      <c r="P48" s="4">
        <v>0.0</v>
      </c>
      <c r="Q48" s="5"/>
      <c r="R48" s="4">
        <v>276615.0</v>
      </c>
      <c r="S48" s="4">
        <v>399303.3</v>
      </c>
      <c r="T48" s="4">
        <v>129237.48</v>
      </c>
      <c r="U48" s="5" t="s">
        <v>259</v>
      </c>
      <c r="V48" s="5" t="s">
        <v>36</v>
      </c>
      <c r="W48" s="4">
        <v>0.0</v>
      </c>
      <c r="X48" s="4">
        <v>0.0</v>
      </c>
      <c r="Y48" s="4">
        <v>195.0</v>
      </c>
      <c r="Z48" s="4">
        <v>195.0</v>
      </c>
      <c r="AA48" s="4">
        <v>0.0</v>
      </c>
      <c r="AB48" s="4">
        <v>195.0</v>
      </c>
      <c r="AC48" s="5" t="s">
        <v>260</v>
      </c>
      <c r="AD48" s="5"/>
      <c r="AE48" s="7" t="s">
        <v>50</v>
      </c>
    </row>
    <row r="49">
      <c r="A49" s="4">
        <v>-8572640.3913</v>
      </c>
      <c r="B49" s="4">
        <v>4708820.0858</v>
      </c>
      <c r="C49" s="4">
        <v>361769.0</v>
      </c>
      <c r="D49" s="5" t="s">
        <v>39</v>
      </c>
      <c r="E49" s="5" t="s">
        <v>261</v>
      </c>
      <c r="F49" s="5" t="s">
        <v>262</v>
      </c>
      <c r="G49" s="5" t="s">
        <v>33</v>
      </c>
      <c r="H49" s="5" t="s">
        <v>63</v>
      </c>
      <c r="I49" s="4">
        <v>18.0</v>
      </c>
      <c r="J49" s="4">
        <v>38.9102476</v>
      </c>
      <c r="K49" s="4">
        <v>-77.00938115</v>
      </c>
      <c r="L49" s="4">
        <v>2.0</v>
      </c>
      <c r="M49" s="4">
        <v>4.0</v>
      </c>
      <c r="N49" s="4">
        <v>12.0</v>
      </c>
      <c r="O49" s="4">
        <v>0.0</v>
      </c>
      <c r="P49" s="4">
        <v>0.0</v>
      </c>
      <c r="Q49" s="5"/>
      <c r="R49" s="4">
        <v>-11239.0</v>
      </c>
      <c r="S49" s="4">
        <v>399190.2232</v>
      </c>
      <c r="T49" s="4">
        <v>138039.4319</v>
      </c>
      <c r="U49" s="5" t="s">
        <v>263</v>
      </c>
      <c r="V49" s="5" t="s">
        <v>36</v>
      </c>
      <c r="W49" s="4">
        <v>0.0</v>
      </c>
      <c r="X49" s="4">
        <v>0.0</v>
      </c>
      <c r="Y49" s="4">
        <v>18.0</v>
      </c>
      <c r="Z49" s="4">
        <v>18.0</v>
      </c>
      <c r="AA49" s="4">
        <v>0.0</v>
      </c>
      <c r="AB49" s="4">
        <v>18.0</v>
      </c>
      <c r="AC49" s="5" t="s">
        <v>264</v>
      </c>
      <c r="AD49" s="5"/>
      <c r="AE49" s="7" t="s">
        <v>50</v>
      </c>
    </row>
    <row r="50">
      <c r="A50" s="4">
        <v>-8569718.4005</v>
      </c>
      <c r="B50" s="4">
        <v>4706031.3512</v>
      </c>
      <c r="C50" s="4">
        <v>361796.0</v>
      </c>
      <c r="D50" s="5" t="s">
        <v>39</v>
      </c>
      <c r="E50" s="5" t="s">
        <v>265</v>
      </c>
      <c r="F50" s="5" t="s">
        <v>266</v>
      </c>
      <c r="G50" s="5" t="s">
        <v>33</v>
      </c>
      <c r="H50" s="5" t="s">
        <v>34</v>
      </c>
      <c r="I50" s="4">
        <v>1.0</v>
      </c>
      <c r="J50" s="4">
        <v>38.89072015</v>
      </c>
      <c r="K50" s="4">
        <v>-76.98308792</v>
      </c>
      <c r="L50" s="4">
        <v>0.0</v>
      </c>
      <c r="M50" s="4">
        <v>0.0</v>
      </c>
      <c r="N50" s="4">
        <v>0.0</v>
      </c>
      <c r="O50" s="4">
        <v>1.0</v>
      </c>
      <c r="P50" s="4">
        <v>0.0</v>
      </c>
      <c r="Q50" s="5"/>
      <c r="R50" s="4">
        <v>62153.0</v>
      </c>
      <c r="S50" s="4">
        <v>401467.21</v>
      </c>
      <c r="T50" s="4">
        <v>135875.3</v>
      </c>
      <c r="U50" s="5" t="s">
        <v>267</v>
      </c>
      <c r="V50" s="5" t="s">
        <v>36</v>
      </c>
      <c r="W50" s="4">
        <v>0.0</v>
      </c>
      <c r="X50" s="4">
        <v>0.0</v>
      </c>
      <c r="Y50" s="4">
        <v>1.0</v>
      </c>
      <c r="Z50" s="4">
        <v>1.0</v>
      </c>
      <c r="AA50" s="4">
        <v>5.0</v>
      </c>
      <c r="AB50" s="4">
        <v>6.0</v>
      </c>
      <c r="AC50" s="5" t="s">
        <v>268</v>
      </c>
      <c r="AD50" s="5"/>
      <c r="AE50" s="7" t="s">
        <v>50</v>
      </c>
    </row>
    <row r="51">
      <c r="A51" s="4">
        <v>-8574252.0699</v>
      </c>
      <c r="B51" s="4">
        <v>4712279.6563</v>
      </c>
      <c r="C51" s="4">
        <v>361820.0</v>
      </c>
      <c r="D51" s="5" t="s">
        <v>114</v>
      </c>
      <c r="E51" s="5" t="s">
        <v>269</v>
      </c>
      <c r="F51" s="5" t="s">
        <v>270</v>
      </c>
      <c r="G51" s="5" t="s">
        <v>33</v>
      </c>
      <c r="H51" s="5" t="s">
        <v>34</v>
      </c>
      <c r="I51" s="4">
        <v>2.0</v>
      </c>
      <c r="J51" s="4">
        <v>38.9343927</v>
      </c>
      <c r="K51" s="4">
        <v>-77.02375008</v>
      </c>
      <c r="L51" s="4">
        <v>0.0</v>
      </c>
      <c r="M51" s="4">
        <v>0.0</v>
      </c>
      <c r="N51" s="4">
        <v>0.0</v>
      </c>
      <c r="O51" s="4">
        <v>2.0</v>
      </c>
      <c r="P51" s="4">
        <v>0.0</v>
      </c>
      <c r="Q51" s="5"/>
      <c r="R51" s="4">
        <v>284757.0</v>
      </c>
      <c r="S51" s="4">
        <v>397935.23</v>
      </c>
      <c r="T51" s="4">
        <v>140723.68</v>
      </c>
      <c r="U51" s="5" t="s">
        <v>271</v>
      </c>
      <c r="V51" s="5" t="s">
        <v>36</v>
      </c>
      <c r="W51" s="4">
        <v>0.0</v>
      </c>
      <c r="X51" s="4">
        <v>0.0</v>
      </c>
      <c r="Y51" s="4">
        <v>2.0</v>
      </c>
      <c r="Z51" s="4">
        <v>2.0</v>
      </c>
      <c r="AA51" s="4">
        <v>18.0</v>
      </c>
      <c r="AB51" s="4">
        <v>20.0</v>
      </c>
      <c r="AC51" s="5" t="s">
        <v>272</v>
      </c>
      <c r="AD51" s="5"/>
      <c r="AE51" s="7" t="s">
        <v>50</v>
      </c>
    </row>
    <row r="52">
      <c r="A52" s="4">
        <v>-8573762.373</v>
      </c>
      <c r="B52" s="4">
        <v>4704985.7595</v>
      </c>
      <c r="C52" s="4">
        <v>361822.0</v>
      </c>
      <c r="D52" s="5" t="s">
        <v>39</v>
      </c>
      <c r="E52" s="5" t="s">
        <v>273</v>
      </c>
      <c r="F52" s="5" t="s">
        <v>274</v>
      </c>
      <c r="G52" s="5" t="s">
        <v>33</v>
      </c>
      <c r="H52" s="5" t="s">
        <v>275</v>
      </c>
      <c r="I52" s="4">
        <v>58.0</v>
      </c>
      <c r="J52" s="4">
        <v>38.88340901</v>
      </c>
      <c r="K52" s="4">
        <v>-77.01941553</v>
      </c>
      <c r="L52" s="4">
        <v>14.0</v>
      </c>
      <c r="M52" s="4">
        <v>44.0</v>
      </c>
      <c r="N52" s="4">
        <v>0.0</v>
      </c>
      <c r="O52" s="4">
        <v>0.0</v>
      </c>
      <c r="P52" s="4">
        <v>0.0</v>
      </c>
      <c r="Q52" s="9"/>
      <c r="R52" s="4">
        <v>316452.0</v>
      </c>
      <c r="S52" s="4">
        <v>398315.43</v>
      </c>
      <c r="T52" s="4">
        <v>135063.75</v>
      </c>
      <c r="U52" s="5" t="s">
        <v>276</v>
      </c>
      <c r="V52" s="5" t="s">
        <v>36</v>
      </c>
      <c r="W52" s="4">
        <v>0.0</v>
      </c>
      <c r="X52" s="4">
        <v>0.0</v>
      </c>
      <c r="Y52" s="4">
        <v>58.0</v>
      </c>
      <c r="Z52" s="4">
        <v>58.0</v>
      </c>
      <c r="AA52" s="4">
        <v>136.0</v>
      </c>
      <c r="AB52" s="4">
        <v>194.0</v>
      </c>
      <c r="AC52" s="5" t="s">
        <v>277</v>
      </c>
      <c r="AD52" s="5"/>
      <c r="AE52" s="7" t="s">
        <v>50</v>
      </c>
    </row>
    <row r="53">
      <c r="A53" s="4">
        <v>-8574433.9232</v>
      </c>
      <c r="B53" s="4">
        <v>4709680.4703</v>
      </c>
      <c r="C53" s="4">
        <v>361825.0</v>
      </c>
      <c r="D53" s="5" t="s">
        <v>114</v>
      </c>
      <c r="E53" s="5" t="s">
        <v>278</v>
      </c>
      <c r="F53" s="5" t="s">
        <v>279</v>
      </c>
      <c r="G53" s="5" t="s">
        <v>33</v>
      </c>
      <c r="H53" s="5" t="s">
        <v>63</v>
      </c>
      <c r="I53" s="4">
        <v>12.0</v>
      </c>
      <c r="J53" s="4">
        <v>38.91629231</v>
      </c>
      <c r="K53" s="4">
        <v>-77.02536643</v>
      </c>
      <c r="L53" s="4">
        <v>3.0</v>
      </c>
      <c r="M53" s="4">
        <v>9.0</v>
      </c>
      <c r="N53" s="4">
        <v>0.0</v>
      </c>
      <c r="O53" s="4">
        <v>0.0</v>
      </c>
      <c r="P53" s="4">
        <v>0.0</v>
      </c>
      <c r="Q53" s="5"/>
      <c r="R53" s="4">
        <v>239514.0</v>
      </c>
      <c r="S53" s="4">
        <v>397793.03</v>
      </c>
      <c r="T53" s="4">
        <v>138707.29</v>
      </c>
      <c r="U53" s="5" t="s">
        <v>280</v>
      </c>
      <c r="V53" s="5" t="s">
        <v>36</v>
      </c>
      <c r="W53" s="4">
        <v>0.0</v>
      </c>
      <c r="X53" s="4">
        <v>0.0</v>
      </c>
      <c r="Y53" s="4">
        <v>12.0</v>
      </c>
      <c r="Z53" s="4">
        <v>12.0</v>
      </c>
      <c r="AA53" s="4">
        <v>26.0</v>
      </c>
      <c r="AB53" s="4">
        <v>38.0</v>
      </c>
      <c r="AC53" s="5" t="s">
        <v>281</v>
      </c>
      <c r="AD53" s="5"/>
      <c r="AE53" s="7" t="s">
        <v>50</v>
      </c>
    </row>
    <row r="54">
      <c r="A54" s="4">
        <v>-8568379.2169</v>
      </c>
      <c r="B54" s="4">
        <v>4701203.8588</v>
      </c>
      <c r="C54" s="4">
        <v>361846.0</v>
      </c>
      <c r="D54" s="5" t="s">
        <v>45</v>
      </c>
      <c r="E54" s="5" t="s">
        <v>282</v>
      </c>
      <c r="F54" s="5" t="s">
        <v>283</v>
      </c>
      <c r="G54" s="5" t="s">
        <v>33</v>
      </c>
      <c r="H54" s="5" t="s">
        <v>258</v>
      </c>
      <c r="I54" s="4">
        <v>72.0</v>
      </c>
      <c r="J54" s="4">
        <v>38.85695835</v>
      </c>
      <c r="K54" s="4">
        <v>-76.97105784</v>
      </c>
      <c r="L54" s="4">
        <v>18.0</v>
      </c>
      <c r="M54" s="4">
        <v>54.0</v>
      </c>
      <c r="N54" s="4">
        <v>0.0</v>
      </c>
      <c r="O54" s="4">
        <v>0.0</v>
      </c>
      <c r="P54" s="4">
        <v>0.0</v>
      </c>
      <c r="Q54" s="5"/>
      <c r="R54" s="4">
        <v>287032.0</v>
      </c>
      <c r="S54" s="4">
        <v>402512.07</v>
      </c>
      <c r="T54" s="4">
        <v>132127.75</v>
      </c>
      <c r="U54" s="5" t="s">
        <v>284</v>
      </c>
      <c r="V54" s="5" t="s">
        <v>36</v>
      </c>
      <c r="W54" s="4">
        <v>0.0</v>
      </c>
      <c r="X54" s="4">
        <v>0.0</v>
      </c>
      <c r="Y54" s="4">
        <v>72.0</v>
      </c>
      <c r="Z54" s="4">
        <v>72.0</v>
      </c>
      <c r="AA54" s="4">
        <v>0.0</v>
      </c>
      <c r="AB54" s="4">
        <v>72.0</v>
      </c>
      <c r="AC54" s="5" t="s">
        <v>285</v>
      </c>
      <c r="AD54" s="5"/>
      <c r="AE54" s="7" t="s">
        <v>50</v>
      </c>
    </row>
    <row r="55">
      <c r="A55" s="4">
        <v>-8572989.7641</v>
      </c>
      <c r="B55" s="4">
        <v>4702229.6324</v>
      </c>
      <c r="C55" s="4">
        <v>361847.0</v>
      </c>
      <c r="D55" s="5" t="s">
        <v>39</v>
      </c>
      <c r="E55" s="5" t="s">
        <v>286</v>
      </c>
      <c r="F55" s="5" t="s">
        <v>287</v>
      </c>
      <c r="G55" s="5" t="s">
        <v>33</v>
      </c>
      <c r="H55" s="5" t="s">
        <v>42</v>
      </c>
      <c r="I55" s="4">
        <v>7.0</v>
      </c>
      <c r="J55" s="4">
        <v>38.8641336</v>
      </c>
      <c r="K55" s="4">
        <v>-77.01247507</v>
      </c>
      <c r="L55" s="4">
        <v>0.0</v>
      </c>
      <c r="M55" s="4">
        <v>4.0</v>
      </c>
      <c r="N55" s="4">
        <v>3.0</v>
      </c>
      <c r="O55" s="4">
        <v>0.0</v>
      </c>
      <c r="P55" s="4">
        <v>0.0</v>
      </c>
      <c r="Q55" s="5" t="s">
        <v>288</v>
      </c>
      <c r="R55" s="4">
        <v>319997.0</v>
      </c>
      <c r="S55" s="4">
        <v>398917.32</v>
      </c>
      <c r="T55" s="4">
        <v>132923.93</v>
      </c>
      <c r="U55" s="5" t="s">
        <v>289</v>
      </c>
      <c r="V55" s="5" t="s">
        <v>36</v>
      </c>
      <c r="W55" s="4">
        <v>0.0</v>
      </c>
      <c r="X55" s="4">
        <v>0.0</v>
      </c>
      <c r="Y55" s="4">
        <v>7.0</v>
      </c>
      <c r="Z55" s="4">
        <v>7.0</v>
      </c>
      <c r="AA55" s="4">
        <v>473.0</v>
      </c>
      <c r="AB55" s="4">
        <v>480.0</v>
      </c>
      <c r="AC55" s="5" t="s">
        <v>290</v>
      </c>
      <c r="AD55" s="5"/>
      <c r="AE55" s="7"/>
    </row>
    <row r="56">
      <c r="A56" s="4">
        <v>-8570231.518</v>
      </c>
      <c r="B56" s="4">
        <v>4704882.4773</v>
      </c>
      <c r="C56" s="4">
        <v>361855.0</v>
      </c>
      <c r="D56" s="5" t="s">
        <v>39</v>
      </c>
      <c r="E56" s="5" t="s">
        <v>291</v>
      </c>
      <c r="F56" s="5" t="s">
        <v>292</v>
      </c>
      <c r="G56" s="5" t="s">
        <v>33</v>
      </c>
      <c r="H56" s="5" t="s">
        <v>42</v>
      </c>
      <c r="I56" s="4">
        <v>5.0</v>
      </c>
      <c r="J56" s="4">
        <v>38.88254814</v>
      </c>
      <c r="K56" s="4">
        <v>-76.98765909</v>
      </c>
      <c r="L56" s="4">
        <v>0.0</v>
      </c>
      <c r="M56" s="4">
        <v>4.0</v>
      </c>
      <c r="N56" s="4">
        <v>0.0</v>
      </c>
      <c r="O56" s="4">
        <v>1.0</v>
      </c>
      <c r="P56" s="4">
        <v>0.0</v>
      </c>
      <c r="Q56" s="5" t="s">
        <v>293</v>
      </c>
      <c r="R56" s="4">
        <v>317011.0</v>
      </c>
      <c r="S56" s="4">
        <v>401067.44</v>
      </c>
      <c r="T56" s="4">
        <v>134983.47</v>
      </c>
      <c r="U56" s="5" t="s">
        <v>294</v>
      </c>
      <c r="V56" s="5" t="s">
        <v>36</v>
      </c>
      <c r="W56" s="4">
        <v>0.0</v>
      </c>
      <c r="X56" s="4">
        <v>0.0</v>
      </c>
      <c r="Y56" s="4">
        <v>5.0</v>
      </c>
      <c r="Z56" s="4">
        <v>5.0</v>
      </c>
      <c r="AA56" s="4">
        <v>39.0</v>
      </c>
      <c r="AB56" s="4">
        <v>44.0</v>
      </c>
      <c r="AC56" s="5" t="s">
        <v>295</v>
      </c>
      <c r="AD56" s="5"/>
      <c r="AE56" s="5"/>
    </row>
    <row r="57">
      <c r="A57" s="4">
        <v>-8574587.4996</v>
      </c>
      <c r="B57" s="4">
        <v>4716850.7169</v>
      </c>
      <c r="C57" s="4">
        <v>361863.0</v>
      </c>
      <c r="D57" s="5" t="s">
        <v>51</v>
      </c>
      <c r="E57" s="5" t="s">
        <v>296</v>
      </c>
      <c r="F57" s="5" t="s">
        <v>297</v>
      </c>
      <c r="G57" s="5" t="s">
        <v>33</v>
      </c>
      <c r="H57" s="5" t="s">
        <v>34</v>
      </c>
      <c r="I57" s="4">
        <v>2.0</v>
      </c>
      <c r="J57" s="4">
        <v>38.96630879</v>
      </c>
      <c r="K57" s="4">
        <v>-77.02688672</v>
      </c>
      <c r="L57" s="4">
        <v>0.0</v>
      </c>
      <c r="M57" s="4">
        <v>0.0</v>
      </c>
      <c r="N57" s="4">
        <v>2.0</v>
      </c>
      <c r="O57" s="4">
        <v>0.0</v>
      </c>
      <c r="P57" s="4">
        <v>0.0</v>
      </c>
      <c r="Q57" s="5"/>
      <c r="R57" s="4">
        <v>254162.0</v>
      </c>
      <c r="S57" s="4">
        <v>397675.02</v>
      </c>
      <c r="T57" s="4">
        <v>144268.71</v>
      </c>
      <c r="U57" s="5" t="s">
        <v>298</v>
      </c>
      <c r="V57" s="5" t="s">
        <v>36</v>
      </c>
      <c r="W57" s="4">
        <v>0.0</v>
      </c>
      <c r="X57" s="4">
        <v>0.0</v>
      </c>
      <c r="Y57" s="4">
        <v>2.0</v>
      </c>
      <c r="Z57" s="4">
        <v>2.0</v>
      </c>
      <c r="AA57" s="4">
        <v>18.0</v>
      </c>
      <c r="AB57" s="4">
        <v>20.0</v>
      </c>
      <c r="AC57" s="5" t="s">
        <v>299</v>
      </c>
      <c r="AD57" s="5"/>
      <c r="AE57" s="7" t="s">
        <v>38</v>
      </c>
    </row>
    <row r="58">
      <c r="A58" s="4">
        <v>-8570409.1063</v>
      </c>
      <c r="B58" s="4">
        <v>4704813.0123</v>
      </c>
      <c r="C58" s="4">
        <v>361866.0</v>
      </c>
      <c r="D58" s="5" t="s">
        <v>39</v>
      </c>
      <c r="E58" s="5" t="s">
        <v>300</v>
      </c>
      <c r="F58" s="5" t="s">
        <v>301</v>
      </c>
      <c r="G58" s="5" t="s">
        <v>33</v>
      </c>
      <c r="H58" s="5" t="s">
        <v>34</v>
      </c>
      <c r="I58" s="4">
        <v>11.0</v>
      </c>
      <c r="J58" s="4">
        <v>38.88220815</v>
      </c>
      <c r="K58" s="4">
        <v>-76.98941157</v>
      </c>
      <c r="L58" s="4">
        <v>0.0</v>
      </c>
      <c r="M58" s="4">
        <v>1.0</v>
      </c>
      <c r="N58" s="4">
        <v>10.0</v>
      </c>
      <c r="O58" s="4">
        <v>0.0</v>
      </c>
      <c r="P58" s="4">
        <v>0.0</v>
      </c>
      <c r="Q58" s="5"/>
      <c r="R58" s="4">
        <v>314729.0</v>
      </c>
      <c r="S58" s="4">
        <v>400929.03</v>
      </c>
      <c r="T58" s="4">
        <v>134929.53</v>
      </c>
      <c r="U58" s="5" t="s">
        <v>302</v>
      </c>
      <c r="V58" s="5" t="s">
        <v>36</v>
      </c>
      <c r="W58" s="4">
        <v>0.0</v>
      </c>
      <c r="X58" s="4">
        <v>0.0</v>
      </c>
      <c r="Y58" s="4">
        <v>11.0</v>
      </c>
      <c r="Z58" s="4">
        <v>11.0</v>
      </c>
      <c r="AA58" s="4">
        <v>106.0</v>
      </c>
      <c r="AB58" s="4">
        <v>117.0</v>
      </c>
      <c r="AC58" s="5" t="s">
        <v>303</v>
      </c>
      <c r="AD58" s="5"/>
      <c r="AE58" s="7" t="s">
        <v>38</v>
      </c>
    </row>
    <row r="59">
      <c r="A59" s="4">
        <v>-8574125.7898</v>
      </c>
      <c r="B59" s="4">
        <v>4709820.1345</v>
      </c>
      <c r="C59" s="4">
        <v>361867.0</v>
      </c>
      <c r="D59" s="5" t="s">
        <v>114</v>
      </c>
      <c r="E59" s="5" t="s">
        <v>304</v>
      </c>
      <c r="F59" s="5" t="s">
        <v>305</v>
      </c>
      <c r="G59" s="5" t="s">
        <v>33</v>
      </c>
      <c r="H59" s="5" t="s">
        <v>34</v>
      </c>
      <c r="I59" s="4">
        <v>10.0</v>
      </c>
      <c r="J59" s="4">
        <v>38.91720634</v>
      </c>
      <c r="K59" s="4">
        <v>-77.02268016</v>
      </c>
      <c r="L59" s="4">
        <v>0.0</v>
      </c>
      <c r="M59" s="4">
        <v>1.0</v>
      </c>
      <c r="N59" s="4">
        <v>9.0</v>
      </c>
      <c r="O59" s="4">
        <v>0.0</v>
      </c>
      <c r="P59" s="4">
        <v>0.0</v>
      </c>
      <c r="Q59" s="5"/>
      <c r="R59" s="4">
        <v>242769.0</v>
      </c>
      <c r="S59" s="4">
        <v>398033.11</v>
      </c>
      <c r="T59" s="4">
        <v>138815.59</v>
      </c>
      <c r="U59" s="5" t="s">
        <v>306</v>
      </c>
      <c r="V59" s="5" t="s">
        <v>36</v>
      </c>
      <c r="W59" s="4">
        <v>0.0</v>
      </c>
      <c r="X59" s="4">
        <v>0.0</v>
      </c>
      <c r="Y59" s="4">
        <v>10.0</v>
      </c>
      <c r="Z59" s="4">
        <v>10.0</v>
      </c>
      <c r="AA59" s="4">
        <v>122.0</v>
      </c>
      <c r="AB59" s="4">
        <v>132.0</v>
      </c>
      <c r="AC59" s="5" t="s">
        <v>307</v>
      </c>
      <c r="AD59" s="5"/>
      <c r="AE59" s="7" t="s">
        <v>38</v>
      </c>
    </row>
    <row r="60">
      <c r="A60" s="4">
        <v>-8569498.8844</v>
      </c>
      <c r="B60" s="4">
        <v>4707816.0951</v>
      </c>
      <c r="C60" s="4">
        <v>361869.0</v>
      </c>
      <c r="D60" s="5" t="s">
        <v>56</v>
      </c>
      <c r="E60" s="5" t="s">
        <v>308</v>
      </c>
      <c r="F60" s="5" t="s">
        <v>309</v>
      </c>
      <c r="G60" s="5" t="s">
        <v>310</v>
      </c>
      <c r="H60" s="5" t="s">
        <v>34</v>
      </c>
      <c r="I60" s="4">
        <v>3.0</v>
      </c>
      <c r="J60" s="4">
        <v>38.90319796</v>
      </c>
      <c r="K60" s="4">
        <v>-76.98111597</v>
      </c>
      <c r="L60" s="4">
        <v>0.0</v>
      </c>
      <c r="M60" s="4">
        <v>1.0</v>
      </c>
      <c r="N60" s="4">
        <v>2.0</v>
      </c>
      <c r="O60" s="4">
        <v>0.0</v>
      </c>
      <c r="P60" s="4">
        <v>0.0</v>
      </c>
      <c r="Q60" s="5"/>
      <c r="R60" s="4">
        <v>314014.0</v>
      </c>
      <c r="S60" s="4">
        <v>401638.0</v>
      </c>
      <c r="T60" s="4">
        <v>137260.47</v>
      </c>
      <c r="U60" s="5" t="s">
        <v>311</v>
      </c>
      <c r="V60" s="5" t="s">
        <v>36</v>
      </c>
      <c r="W60" s="4">
        <v>0.0</v>
      </c>
      <c r="X60" s="4">
        <v>0.0</v>
      </c>
      <c r="Y60" s="4">
        <v>3.0</v>
      </c>
      <c r="Z60" s="4">
        <v>3.0</v>
      </c>
      <c r="AA60" s="4">
        <v>27.0</v>
      </c>
      <c r="AB60" s="4">
        <v>30.0</v>
      </c>
      <c r="AC60" s="5"/>
      <c r="AD60" s="5"/>
      <c r="AE60" s="7" t="s">
        <v>312</v>
      </c>
    </row>
    <row r="61">
      <c r="A61" s="4">
        <v>-8572552.6468</v>
      </c>
      <c r="B61" s="4">
        <v>4703912.8988</v>
      </c>
      <c r="C61" s="4">
        <v>361870.0</v>
      </c>
      <c r="D61" s="5" t="s">
        <v>39</v>
      </c>
      <c r="E61" s="5" t="s">
        <v>313</v>
      </c>
      <c r="F61" s="5" t="s">
        <v>314</v>
      </c>
      <c r="G61" s="5" t="s">
        <v>33</v>
      </c>
      <c r="H61" s="5" t="s">
        <v>34</v>
      </c>
      <c r="I61" s="4">
        <v>15.0</v>
      </c>
      <c r="J61" s="4">
        <v>38.87590641</v>
      </c>
      <c r="K61" s="4">
        <v>-77.00854838</v>
      </c>
      <c r="L61" s="4">
        <v>0.0</v>
      </c>
      <c r="M61" s="4">
        <v>0.0</v>
      </c>
      <c r="N61" s="4">
        <v>0.0</v>
      </c>
      <c r="O61" s="4">
        <v>15.0</v>
      </c>
      <c r="P61" s="4">
        <v>0.0</v>
      </c>
      <c r="Q61" s="5"/>
      <c r="R61" s="4">
        <v>318704.0</v>
      </c>
      <c r="S61" s="4">
        <v>399258.23</v>
      </c>
      <c r="T61" s="4">
        <v>134230.76</v>
      </c>
      <c r="U61" s="5" t="s">
        <v>315</v>
      </c>
      <c r="V61" s="5" t="s">
        <v>36</v>
      </c>
      <c r="W61" s="4">
        <v>0.0</v>
      </c>
      <c r="X61" s="4">
        <v>0.0</v>
      </c>
      <c r="Y61" s="4">
        <v>15.0</v>
      </c>
      <c r="Z61" s="4">
        <v>15.0</v>
      </c>
      <c r="AA61" s="4">
        <v>156.0</v>
      </c>
      <c r="AB61" s="4">
        <v>171.0</v>
      </c>
      <c r="AC61" s="5" t="s">
        <v>316</v>
      </c>
      <c r="AD61" s="5"/>
      <c r="AE61" s="7" t="s">
        <v>38</v>
      </c>
    </row>
    <row r="62">
      <c r="A62" s="4">
        <v>-8574345.3344</v>
      </c>
      <c r="B62" s="4">
        <v>4713471.8843</v>
      </c>
      <c r="C62" s="4">
        <v>361871.0</v>
      </c>
      <c r="D62" s="5" t="s">
        <v>51</v>
      </c>
      <c r="E62" s="5" t="s">
        <v>317</v>
      </c>
      <c r="F62" s="5" t="s">
        <v>318</v>
      </c>
      <c r="G62" s="5" t="s">
        <v>33</v>
      </c>
      <c r="H62" s="5" t="s">
        <v>34</v>
      </c>
      <c r="I62" s="4">
        <v>2.0</v>
      </c>
      <c r="J62" s="4">
        <v>38.94272522</v>
      </c>
      <c r="K62" s="4">
        <v>-77.02465236</v>
      </c>
      <c r="L62" s="4">
        <v>0.0</v>
      </c>
      <c r="M62" s="4">
        <v>0.0</v>
      </c>
      <c r="N62" s="4">
        <v>0.0</v>
      </c>
      <c r="O62" s="4">
        <v>2.0</v>
      </c>
      <c r="P62" s="4">
        <v>0.0</v>
      </c>
      <c r="Q62" s="5"/>
      <c r="R62" s="4">
        <v>252478.0</v>
      </c>
      <c r="S62" s="4">
        <v>397862.84</v>
      </c>
      <c r="T62" s="4">
        <v>141648.45</v>
      </c>
      <c r="U62" s="5" t="s">
        <v>319</v>
      </c>
      <c r="V62" s="5" t="s">
        <v>36</v>
      </c>
      <c r="W62" s="4">
        <v>0.0</v>
      </c>
      <c r="X62" s="4">
        <v>0.0</v>
      </c>
      <c r="Y62" s="4">
        <v>2.0</v>
      </c>
      <c r="Z62" s="4">
        <v>2.0</v>
      </c>
      <c r="AA62" s="4">
        <v>10.0</v>
      </c>
      <c r="AB62" s="4">
        <v>12.0</v>
      </c>
      <c r="AC62" s="5" t="s">
        <v>320</v>
      </c>
      <c r="AD62" s="5"/>
      <c r="AE62" s="7" t="s">
        <v>38</v>
      </c>
    </row>
    <row r="63">
      <c r="A63" s="4">
        <v>-8574354.5668</v>
      </c>
      <c r="B63" s="4">
        <v>4713471.2242</v>
      </c>
      <c r="C63" s="4">
        <v>361872.0</v>
      </c>
      <c r="D63" s="5" t="s">
        <v>51</v>
      </c>
      <c r="E63" s="5" t="s">
        <v>321</v>
      </c>
      <c r="F63" s="5" t="s">
        <v>322</v>
      </c>
      <c r="G63" s="5" t="s">
        <v>33</v>
      </c>
      <c r="H63" s="5" t="s">
        <v>34</v>
      </c>
      <c r="I63" s="4">
        <v>1.0</v>
      </c>
      <c r="J63" s="4">
        <v>38.9427206</v>
      </c>
      <c r="K63" s="4">
        <v>-77.02473529</v>
      </c>
      <c r="L63" s="4">
        <v>0.0</v>
      </c>
      <c r="M63" s="4">
        <v>0.0</v>
      </c>
      <c r="N63" s="4">
        <v>0.0</v>
      </c>
      <c r="O63" s="4">
        <v>1.0</v>
      </c>
      <c r="P63" s="4">
        <v>0.0</v>
      </c>
      <c r="Q63" s="5"/>
      <c r="R63" s="4">
        <v>252477.0</v>
      </c>
      <c r="S63" s="4">
        <v>397855.65</v>
      </c>
      <c r="T63" s="4">
        <v>141647.94</v>
      </c>
      <c r="U63" s="5" t="s">
        <v>323</v>
      </c>
      <c r="V63" s="5" t="s">
        <v>36</v>
      </c>
      <c r="W63" s="4">
        <v>0.0</v>
      </c>
      <c r="X63" s="4">
        <v>0.0</v>
      </c>
      <c r="Y63" s="4">
        <v>1.0</v>
      </c>
      <c r="Z63" s="4">
        <v>1.0</v>
      </c>
      <c r="AA63" s="4">
        <v>10.0</v>
      </c>
      <c r="AB63" s="4">
        <v>11.0</v>
      </c>
      <c r="AC63" s="5" t="s">
        <v>324</v>
      </c>
      <c r="AD63" s="5"/>
      <c r="AE63" s="7" t="s">
        <v>38</v>
      </c>
    </row>
    <row r="64">
      <c r="A64" s="4">
        <v>-8563686.2617</v>
      </c>
      <c r="B64" s="4">
        <v>4704779.8048</v>
      </c>
      <c r="C64" s="4">
        <v>361873.0</v>
      </c>
      <c r="D64" s="5" t="s">
        <v>30</v>
      </c>
      <c r="E64" s="5" t="s">
        <v>325</v>
      </c>
      <c r="F64" s="5" t="s">
        <v>326</v>
      </c>
      <c r="G64" s="5" t="s">
        <v>33</v>
      </c>
      <c r="H64" s="5" t="s">
        <v>81</v>
      </c>
      <c r="I64" s="4">
        <v>1.0</v>
      </c>
      <c r="J64" s="4">
        <v>38.88197583</v>
      </c>
      <c r="K64" s="4">
        <v>-76.92890146</v>
      </c>
      <c r="L64" s="4">
        <v>0.0</v>
      </c>
      <c r="M64" s="4">
        <v>0.0</v>
      </c>
      <c r="N64" s="4">
        <v>0.0</v>
      </c>
      <c r="O64" s="4">
        <v>1.0</v>
      </c>
      <c r="P64" s="4">
        <v>0.0</v>
      </c>
      <c r="Q64" s="5"/>
      <c r="R64" s="4">
        <v>318787.0</v>
      </c>
      <c r="S64" s="4">
        <v>406169.02</v>
      </c>
      <c r="T64" s="4">
        <v>134906.1</v>
      </c>
      <c r="U64" s="5" t="s">
        <v>327</v>
      </c>
      <c r="V64" s="5" t="s">
        <v>36</v>
      </c>
      <c r="W64" s="4">
        <v>0.0</v>
      </c>
      <c r="X64" s="4">
        <v>0.0</v>
      </c>
      <c r="Y64" s="4">
        <v>1.0</v>
      </c>
      <c r="Z64" s="4">
        <v>1.0</v>
      </c>
      <c r="AA64" s="4">
        <v>9.0</v>
      </c>
      <c r="AB64" s="4">
        <v>10.0</v>
      </c>
      <c r="AC64" s="5" t="s">
        <v>328</v>
      </c>
      <c r="AD64" s="5"/>
      <c r="AE64" s="7" t="s">
        <v>38</v>
      </c>
    </row>
    <row r="65">
      <c r="A65" s="4">
        <v>-8575119.0278</v>
      </c>
      <c r="B65" s="4">
        <v>4710182.2072</v>
      </c>
      <c r="C65" s="4">
        <v>361874.0</v>
      </c>
      <c r="D65" s="5" t="s">
        <v>114</v>
      </c>
      <c r="E65" s="5" t="s">
        <v>329</v>
      </c>
      <c r="F65" s="5" t="s">
        <v>330</v>
      </c>
      <c r="G65" s="5" t="s">
        <v>33</v>
      </c>
      <c r="H65" s="5" t="s">
        <v>34</v>
      </c>
      <c r="I65" s="4">
        <v>4.0</v>
      </c>
      <c r="J65" s="4">
        <v>38.91966539</v>
      </c>
      <c r="K65" s="4">
        <v>-77.03166457</v>
      </c>
      <c r="L65" s="4">
        <v>0.0</v>
      </c>
      <c r="M65" s="4">
        <v>1.0</v>
      </c>
      <c r="N65" s="4">
        <v>3.0</v>
      </c>
      <c r="O65" s="4">
        <v>0.0</v>
      </c>
      <c r="P65" s="4">
        <v>0.0</v>
      </c>
      <c r="Q65" s="5"/>
      <c r="R65" s="4">
        <v>284282.0</v>
      </c>
      <c r="S65" s="4">
        <v>397259.43</v>
      </c>
      <c r="T65" s="4">
        <v>139096.74</v>
      </c>
      <c r="U65" s="5" t="s">
        <v>331</v>
      </c>
      <c r="V65" s="5" t="s">
        <v>36</v>
      </c>
      <c r="W65" s="4">
        <v>0.0</v>
      </c>
      <c r="X65" s="4">
        <v>0.0</v>
      </c>
      <c r="Y65" s="4">
        <v>4.0</v>
      </c>
      <c r="Z65" s="4">
        <v>4.0</v>
      </c>
      <c r="AA65" s="4">
        <v>51.0</v>
      </c>
      <c r="AB65" s="4">
        <v>55.0</v>
      </c>
      <c r="AC65" s="5" t="s">
        <v>332</v>
      </c>
      <c r="AD65" s="5"/>
      <c r="AE65" s="7" t="s">
        <v>38</v>
      </c>
    </row>
    <row r="66">
      <c r="A66" s="4">
        <v>-8574639.8361</v>
      </c>
      <c r="B66" s="4">
        <v>4714325.5827</v>
      </c>
      <c r="C66" s="4">
        <v>361875.0</v>
      </c>
      <c r="D66" s="5" t="s">
        <v>51</v>
      </c>
      <c r="E66" s="5" t="s">
        <v>333</v>
      </c>
      <c r="F66" s="5" t="s">
        <v>334</v>
      </c>
      <c r="G66" s="5" t="s">
        <v>33</v>
      </c>
      <c r="H66" s="5" t="s">
        <v>34</v>
      </c>
      <c r="I66" s="4">
        <v>2.0</v>
      </c>
      <c r="J66" s="4">
        <v>38.94869798</v>
      </c>
      <c r="K66" s="4">
        <v>-77.02735548</v>
      </c>
      <c r="L66" s="4">
        <v>0.0</v>
      </c>
      <c r="M66" s="4">
        <v>1.0</v>
      </c>
      <c r="N66" s="4">
        <v>0.0</v>
      </c>
      <c r="O66" s="4">
        <v>1.0</v>
      </c>
      <c r="P66" s="4">
        <v>0.0</v>
      </c>
      <c r="Q66" s="5"/>
      <c r="R66" s="4">
        <v>252830.0</v>
      </c>
      <c r="S66" s="4">
        <v>397633.69</v>
      </c>
      <c r="T66" s="4">
        <v>142310.62</v>
      </c>
      <c r="U66" s="5" t="s">
        <v>335</v>
      </c>
      <c r="V66" s="5" t="s">
        <v>36</v>
      </c>
      <c r="W66" s="4">
        <v>0.0</v>
      </c>
      <c r="X66" s="4">
        <v>0.0</v>
      </c>
      <c r="Y66" s="4">
        <v>2.0</v>
      </c>
      <c r="Z66" s="4">
        <v>2.0</v>
      </c>
      <c r="AA66" s="4">
        <v>16.0</v>
      </c>
      <c r="AB66" s="4">
        <v>18.0</v>
      </c>
      <c r="AC66" s="5" t="s">
        <v>336</v>
      </c>
      <c r="AD66" s="5"/>
      <c r="AE66" s="7" t="s">
        <v>38</v>
      </c>
    </row>
    <row r="67">
      <c r="A67" s="4">
        <v>-8574587.7173</v>
      </c>
      <c r="B67" s="4">
        <v>4719217.844</v>
      </c>
      <c r="C67" s="4">
        <v>361877.0</v>
      </c>
      <c r="D67" s="5" t="s">
        <v>51</v>
      </c>
      <c r="E67" s="5" t="s">
        <v>337</v>
      </c>
      <c r="F67" s="5" t="s">
        <v>338</v>
      </c>
      <c r="G67" s="5" t="s">
        <v>33</v>
      </c>
      <c r="H67" s="5" t="s">
        <v>34</v>
      </c>
      <c r="I67" s="4">
        <v>3.0</v>
      </c>
      <c r="J67" s="4">
        <v>38.982809</v>
      </c>
      <c r="K67" s="4">
        <v>-77.02680973</v>
      </c>
      <c r="L67" s="4">
        <v>0.0</v>
      </c>
      <c r="M67" s="4">
        <v>1.0</v>
      </c>
      <c r="N67" s="4">
        <v>0.0</v>
      </c>
      <c r="O67" s="4">
        <v>2.0</v>
      </c>
      <c r="P67" s="4">
        <v>0.0</v>
      </c>
      <c r="Q67" s="5"/>
      <c r="R67" s="4">
        <v>253566.0</v>
      </c>
      <c r="S67" s="4">
        <v>397675.39</v>
      </c>
      <c r="T67" s="4">
        <v>146103.85</v>
      </c>
      <c r="U67" s="5" t="s">
        <v>339</v>
      </c>
      <c r="V67" s="5" t="s">
        <v>36</v>
      </c>
      <c r="W67" s="4">
        <v>0.0</v>
      </c>
      <c r="X67" s="4">
        <v>0.0</v>
      </c>
      <c r="Y67" s="4">
        <v>3.0</v>
      </c>
      <c r="Z67" s="4">
        <v>3.0</v>
      </c>
      <c r="AA67" s="4">
        <v>29.0</v>
      </c>
      <c r="AB67" s="4">
        <v>32.0</v>
      </c>
      <c r="AC67" s="5" t="s">
        <v>340</v>
      </c>
      <c r="AD67" s="5"/>
      <c r="AE67" s="7" t="s">
        <v>38</v>
      </c>
    </row>
    <row r="68">
      <c r="A68" s="4">
        <v>-8579608.5487</v>
      </c>
      <c r="B68" s="4">
        <v>4715834.7933</v>
      </c>
      <c r="C68" s="4">
        <v>361878.0</v>
      </c>
      <c r="D68" s="5" t="s">
        <v>341</v>
      </c>
      <c r="E68" s="5" t="s">
        <v>342</v>
      </c>
      <c r="F68" s="5" t="s">
        <v>343</v>
      </c>
      <c r="G68" s="5" t="s">
        <v>33</v>
      </c>
      <c r="H68" s="5" t="s">
        <v>34</v>
      </c>
      <c r="I68" s="4">
        <v>2.0</v>
      </c>
      <c r="J68" s="4">
        <v>38.95921612</v>
      </c>
      <c r="K68" s="4">
        <v>-77.07192532</v>
      </c>
      <c r="L68" s="4">
        <v>0.0</v>
      </c>
      <c r="M68" s="4">
        <v>0.0</v>
      </c>
      <c r="N68" s="4">
        <v>2.0</v>
      </c>
      <c r="O68" s="4">
        <v>0.0</v>
      </c>
      <c r="P68" s="4">
        <v>0.0</v>
      </c>
      <c r="Q68" s="5"/>
      <c r="R68" s="4">
        <v>264140.0</v>
      </c>
      <c r="S68" s="4">
        <v>393765.47</v>
      </c>
      <c r="T68" s="4">
        <v>143483.09</v>
      </c>
      <c r="U68" s="5" t="s">
        <v>344</v>
      </c>
      <c r="V68" s="5" t="s">
        <v>36</v>
      </c>
      <c r="W68" s="4">
        <v>0.0</v>
      </c>
      <c r="X68" s="4">
        <v>0.0</v>
      </c>
      <c r="Y68" s="4">
        <v>2.0</v>
      </c>
      <c r="Z68" s="4">
        <v>2.0</v>
      </c>
      <c r="AA68" s="4">
        <v>17.0</v>
      </c>
      <c r="AB68" s="4">
        <v>19.0</v>
      </c>
      <c r="AC68" s="5" t="s">
        <v>345</v>
      </c>
      <c r="AD68" s="5"/>
      <c r="AE68" s="7" t="s">
        <v>38</v>
      </c>
    </row>
    <row r="69">
      <c r="A69" s="4">
        <v>-8569539.1315</v>
      </c>
      <c r="B69" s="4">
        <v>4702478.6797</v>
      </c>
      <c r="C69" s="4">
        <v>361879.0</v>
      </c>
      <c r="D69" s="5" t="s">
        <v>45</v>
      </c>
      <c r="E69" s="5" t="s">
        <v>346</v>
      </c>
      <c r="F69" s="5" t="s">
        <v>347</v>
      </c>
      <c r="G69" s="5" t="s">
        <v>310</v>
      </c>
      <c r="H69" s="5" t="s">
        <v>34</v>
      </c>
      <c r="I69" s="4">
        <v>8.0</v>
      </c>
      <c r="J69" s="4">
        <v>38.86587556</v>
      </c>
      <c r="K69" s="4">
        <v>-76.98147752</v>
      </c>
      <c r="L69" s="4">
        <v>0.0</v>
      </c>
      <c r="M69" s="4">
        <v>1.0</v>
      </c>
      <c r="N69" s="4">
        <v>7.0</v>
      </c>
      <c r="O69" s="4">
        <v>0.0</v>
      </c>
      <c r="P69" s="4">
        <v>0.0</v>
      </c>
      <c r="Q69" s="5"/>
      <c r="R69" s="4">
        <v>314544.0</v>
      </c>
      <c r="S69" s="4">
        <v>401607.48</v>
      </c>
      <c r="T69" s="4">
        <v>133117.39</v>
      </c>
      <c r="U69" s="5" t="s">
        <v>348</v>
      </c>
      <c r="V69" s="5" t="s">
        <v>36</v>
      </c>
      <c r="W69" s="4">
        <v>0.0</v>
      </c>
      <c r="X69" s="4">
        <v>0.0</v>
      </c>
      <c r="Y69" s="4">
        <v>8.0</v>
      </c>
      <c r="Z69" s="4">
        <v>8.0</v>
      </c>
      <c r="AA69" s="4">
        <v>74.0</v>
      </c>
      <c r="AB69" s="4">
        <v>82.0</v>
      </c>
      <c r="AC69" s="5"/>
      <c r="AD69" s="5"/>
      <c r="AE69" s="7" t="s">
        <v>312</v>
      </c>
    </row>
    <row r="70">
      <c r="A70" s="4">
        <v>-8566545.053</v>
      </c>
      <c r="B70" s="4">
        <v>4705070.951</v>
      </c>
      <c r="C70" s="4">
        <v>361881.0</v>
      </c>
      <c r="D70" s="5" t="s">
        <v>30</v>
      </c>
      <c r="E70" s="5" t="s">
        <v>349</v>
      </c>
      <c r="F70" s="5" t="s">
        <v>350</v>
      </c>
      <c r="G70" s="5" t="s">
        <v>33</v>
      </c>
      <c r="H70" s="5" t="s">
        <v>81</v>
      </c>
      <c r="I70" s="4">
        <v>100.0</v>
      </c>
      <c r="J70" s="4">
        <v>38.88400505</v>
      </c>
      <c r="K70" s="4">
        <v>-76.95458126</v>
      </c>
      <c r="L70" s="4">
        <v>0.0</v>
      </c>
      <c r="M70" s="4">
        <v>9.0</v>
      </c>
      <c r="N70" s="4">
        <v>91.0</v>
      </c>
      <c r="O70" s="4">
        <v>0.0</v>
      </c>
      <c r="P70" s="4">
        <v>0.0</v>
      </c>
      <c r="Q70" s="5"/>
      <c r="R70" s="4">
        <v>33069.0</v>
      </c>
      <c r="S70" s="4">
        <v>403940.68</v>
      </c>
      <c r="T70" s="4">
        <v>135130.68</v>
      </c>
      <c r="U70" s="5" t="s">
        <v>351</v>
      </c>
      <c r="V70" s="5" t="s">
        <v>36</v>
      </c>
      <c r="W70" s="4">
        <v>0.0</v>
      </c>
      <c r="X70" s="4">
        <v>100.0</v>
      </c>
      <c r="Y70" s="4">
        <v>0.0</v>
      </c>
      <c r="Z70" s="4">
        <v>100.0</v>
      </c>
      <c r="AA70" s="4">
        <v>0.0</v>
      </c>
      <c r="AB70" s="4">
        <v>100.0</v>
      </c>
      <c r="AC70" s="5" t="s">
        <v>352</v>
      </c>
      <c r="AD70" s="5"/>
      <c r="AE70" s="7" t="s">
        <v>38</v>
      </c>
    </row>
    <row r="71">
      <c r="A71" s="4">
        <v>-8571396.5033</v>
      </c>
      <c r="B71" s="4">
        <v>4698756.7827</v>
      </c>
      <c r="C71" s="4">
        <v>361882.0</v>
      </c>
      <c r="D71" s="5" t="s">
        <v>45</v>
      </c>
      <c r="E71" s="5" t="s">
        <v>353</v>
      </c>
      <c r="F71" s="5" t="s">
        <v>354</v>
      </c>
      <c r="G71" s="5" t="s">
        <v>33</v>
      </c>
      <c r="H71" s="5" t="s">
        <v>258</v>
      </c>
      <c r="I71" s="4">
        <v>195.0</v>
      </c>
      <c r="J71" s="4">
        <v>38.83983824</v>
      </c>
      <c r="K71" s="4">
        <v>-76.99816257</v>
      </c>
      <c r="L71" s="4">
        <v>20.0</v>
      </c>
      <c r="M71" s="4">
        <v>127.0</v>
      </c>
      <c r="N71" s="4">
        <v>28.0</v>
      </c>
      <c r="O71" s="4">
        <v>20.0</v>
      </c>
      <c r="P71" s="4">
        <v>0.0</v>
      </c>
      <c r="Q71" s="5"/>
      <c r="R71" s="4">
        <v>297993.0</v>
      </c>
      <c r="S71" s="4">
        <v>400159.52</v>
      </c>
      <c r="T71" s="4">
        <v>130226.9</v>
      </c>
      <c r="U71" s="5" t="s">
        <v>355</v>
      </c>
      <c r="V71" s="5" t="s">
        <v>36</v>
      </c>
      <c r="W71" s="4">
        <v>0.0</v>
      </c>
      <c r="X71" s="4">
        <v>195.0</v>
      </c>
      <c r="Y71" s="4">
        <v>0.0</v>
      </c>
      <c r="Z71" s="4">
        <v>195.0</v>
      </c>
      <c r="AA71" s="4">
        <v>0.0</v>
      </c>
      <c r="AB71" s="4">
        <v>195.0</v>
      </c>
      <c r="AC71" s="5" t="s">
        <v>356</v>
      </c>
      <c r="AD71" s="5"/>
      <c r="AE71" s="7" t="s">
        <v>38</v>
      </c>
    </row>
    <row r="72">
      <c r="A72" s="4">
        <v>-8570107.3994</v>
      </c>
      <c r="B72" s="4">
        <v>4701031.9577</v>
      </c>
      <c r="C72" s="4">
        <v>361883.0</v>
      </c>
      <c r="D72" s="5" t="s">
        <v>45</v>
      </c>
      <c r="E72" s="5" t="s">
        <v>357</v>
      </c>
      <c r="F72" s="5" t="s">
        <v>358</v>
      </c>
      <c r="G72" s="5" t="s">
        <v>33</v>
      </c>
      <c r="H72" s="5" t="s">
        <v>102</v>
      </c>
      <c r="I72" s="4">
        <v>121.0</v>
      </c>
      <c r="J72" s="4">
        <v>38.85575584</v>
      </c>
      <c r="K72" s="4">
        <v>-76.98658236</v>
      </c>
      <c r="L72" s="4">
        <v>13.0</v>
      </c>
      <c r="M72" s="4">
        <v>108.0</v>
      </c>
      <c r="N72" s="4">
        <v>0.0</v>
      </c>
      <c r="O72" s="4">
        <v>0.0</v>
      </c>
      <c r="P72" s="4">
        <v>0.0</v>
      </c>
      <c r="Q72" s="5" t="s">
        <v>359</v>
      </c>
      <c r="R72" s="4">
        <v>317245.0</v>
      </c>
      <c r="S72" s="4">
        <v>401164.62</v>
      </c>
      <c r="T72" s="4">
        <v>131993.95</v>
      </c>
      <c r="U72" s="5" t="s">
        <v>360</v>
      </c>
      <c r="V72" s="5" t="s">
        <v>36</v>
      </c>
      <c r="W72" s="4">
        <v>0.0</v>
      </c>
      <c r="X72" s="4">
        <v>0.0</v>
      </c>
      <c r="Y72" s="4">
        <v>121.0</v>
      </c>
      <c r="Z72" s="4">
        <v>121.0</v>
      </c>
      <c r="AA72" s="4">
        <v>0.0</v>
      </c>
      <c r="AB72" s="4">
        <v>121.0</v>
      </c>
      <c r="AC72" s="5" t="s">
        <v>361</v>
      </c>
      <c r="AD72" s="5"/>
      <c r="AE72" s="7"/>
    </row>
    <row r="73">
      <c r="A73" s="4">
        <v>-8571505.2846</v>
      </c>
      <c r="B73" s="4">
        <v>4708715.3113</v>
      </c>
      <c r="C73" s="4">
        <v>361884.0</v>
      </c>
      <c r="D73" s="5" t="s">
        <v>56</v>
      </c>
      <c r="E73" s="5" t="s">
        <v>362</v>
      </c>
      <c r="F73" s="5" t="s">
        <v>363</v>
      </c>
      <c r="G73" s="5" t="s">
        <v>33</v>
      </c>
      <c r="H73" s="5" t="s">
        <v>42</v>
      </c>
      <c r="I73" s="4">
        <v>9.0</v>
      </c>
      <c r="J73" s="4">
        <v>38.90948389</v>
      </c>
      <c r="K73" s="4">
        <v>-76.99913977</v>
      </c>
      <c r="L73" s="4">
        <v>0.0</v>
      </c>
      <c r="M73" s="4">
        <v>0.0</v>
      </c>
      <c r="N73" s="4">
        <v>0.0</v>
      </c>
      <c r="O73" s="4">
        <v>9.0</v>
      </c>
      <c r="P73" s="4">
        <v>0.0</v>
      </c>
      <c r="Q73" s="5" t="s">
        <v>364</v>
      </c>
      <c r="R73" s="4">
        <v>329948.0</v>
      </c>
      <c r="S73" s="4">
        <v>400074.61</v>
      </c>
      <c r="T73" s="4">
        <v>137958.09</v>
      </c>
      <c r="U73" s="5" t="s">
        <v>365</v>
      </c>
      <c r="V73" s="5" t="s">
        <v>36</v>
      </c>
      <c r="W73" s="4">
        <v>0.0</v>
      </c>
      <c r="X73" s="4">
        <v>0.0</v>
      </c>
      <c r="Y73" s="4">
        <v>9.0</v>
      </c>
      <c r="Z73" s="4">
        <v>9.0</v>
      </c>
      <c r="AA73" s="4">
        <v>125.0</v>
      </c>
      <c r="AB73" s="4">
        <v>134.0</v>
      </c>
      <c r="AC73" s="5" t="s">
        <v>366</v>
      </c>
      <c r="AD73" s="5"/>
      <c r="AE73" s="5"/>
    </row>
    <row r="74">
      <c r="A74" s="4">
        <v>-8572908.4444</v>
      </c>
      <c r="B74" s="4">
        <v>4703241.7191</v>
      </c>
      <c r="C74" s="4">
        <v>361885.0</v>
      </c>
      <c r="D74" s="5" t="s">
        <v>39</v>
      </c>
      <c r="E74" s="5" t="s">
        <v>367</v>
      </c>
      <c r="F74" s="5" t="s">
        <v>368</v>
      </c>
      <c r="G74" s="5" t="s">
        <v>33</v>
      </c>
      <c r="H74" s="5" t="s">
        <v>42</v>
      </c>
      <c r="I74" s="4">
        <v>101.0</v>
      </c>
      <c r="J74" s="4">
        <v>38.87122617</v>
      </c>
      <c r="K74" s="4">
        <v>-77.01179193</v>
      </c>
      <c r="L74" s="4">
        <v>21.0</v>
      </c>
      <c r="M74" s="4">
        <v>80.0</v>
      </c>
      <c r="N74" s="4">
        <v>0.0</v>
      </c>
      <c r="O74" s="4">
        <v>0.0</v>
      </c>
      <c r="P74" s="4">
        <v>0.0</v>
      </c>
      <c r="Q74" s="5" t="s">
        <v>369</v>
      </c>
      <c r="R74" s="4">
        <v>61232.0</v>
      </c>
      <c r="S74" s="4">
        <v>398980.82</v>
      </c>
      <c r="T74" s="4">
        <v>133709.72</v>
      </c>
      <c r="U74" s="5" t="s">
        <v>370</v>
      </c>
      <c r="V74" s="5" t="s">
        <v>36</v>
      </c>
      <c r="W74" s="4">
        <v>0.0</v>
      </c>
      <c r="X74" s="4">
        <v>0.0</v>
      </c>
      <c r="Y74" s="4">
        <v>101.0</v>
      </c>
      <c r="Z74" s="4">
        <v>101.0</v>
      </c>
      <c r="AA74" s="4">
        <v>0.0</v>
      </c>
      <c r="AB74" s="4">
        <v>101.0</v>
      </c>
      <c r="AC74" s="5" t="s">
        <v>371</v>
      </c>
      <c r="AD74" s="5"/>
      <c r="AE74" s="5"/>
    </row>
    <row r="75">
      <c r="A75" s="4">
        <v>-8572706.3842</v>
      </c>
      <c r="B75" s="4">
        <v>4702584.6985</v>
      </c>
      <c r="C75" s="4">
        <v>361886.0</v>
      </c>
      <c r="D75" s="5" t="s">
        <v>39</v>
      </c>
      <c r="E75" s="5" t="s">
        <v>372</v>
      </c>
      <c r="F75" s="5" t="s">
        <v>373</v>
      </c>
      <c r="G75" s="5" t="s">
        <v>33</v>
      </c>
      <c r="H75" s="5" t="s">
        <v>374</v>
      </c>
      <c r="I75" s="4">
        <v>11.0</v>
      </c>
      <c r="J75" s="4">
        <v>38.86661744</v>
      </c>
      <c r="K75" s="4">
        <v>-77.00992943</v>
      </c>
      <c r="L75" s="4">
        <v>0.0</v>
      </c>
      <c r="M75" s="4">
        <v>0.0</v>
      </c>
      <c r="N75" s="4">
        <v>0.0</v>
      </c>
      <c r="O75" s="4">
        <v>11.0</v>
      </c>
      <c r="P75" s="4">
        <v>0.0</v>
      </c>
      <c r="Q75" s="5" t="s">
        <v>375</v>
      </c>
      <c r="R75" s="4">
        <v>277760.0</v>
      </c>
      <c r="S75" s="4">
        <v>399138.28</v>
      </c>
      <c r="T75" s="4">
        <v>133199.59</v>
      </c>
      <c r="U75" s="5" t="s">
        <v>376</v>
      </c>
      <c r="V75" s="5" t="s">
        <v>36</v>
      </c>
      <c r="W75" s="4">
        <v>0.0</v>
      </c>
      <c r="X75" s="4">
        <v>0.0</v>
      </c>
      <c r="Y75" s="4">
        <v>11.0</v>
      </c>
      <c r="Z75" s="4">
        <v>11.0</v>
      </c>
      <c r="AA75" s="4">
        <v>0.0</v>
      </c>
      <c r="AB75" s="4">
        <v>11.0</v>
      </c>
      <c r="AC75" s="5" t="s">
        <v>377</v>
      </c>
      <c r="AD75" s="5"/>
      <c r="AE75" s="5"/>
    </row>
    <row r="76">
      <c r="A76" s="4">
        <v>-8571676.2062</v>
      </c>
      <c r="B76" s="4">
        <v>4708719.6544</v>
      </c>
      <c r="C76" s="4">
        <v>361887.0</v>
      </c>
      <c r="D76" s="5" t="s">
        <v>56</v>
      </c>
      <c r="E76" s="5" t="s">
        <v>378</v>
      </c>
      <c r="F76" s="5" t="s">
        <v>379</v>
      </c>
      <c r="G76" s="5" t="s">
        <v>33</v>
      </c>
      <c r="H76" s="5" t="s">
        <v>42</v>
      </c>
      <c r="I76" s="4">
        <v>29.0</v>
      </c>
      <c r="J76" s="4">
        <v>38.90951424</v>
      </c>
      <c r="K76" s="4">
        <v>-77.00067518</v>
      </c>
      <c r="L76" s="4">
        <v>0.0</v>
      </c>
      <c r="M76" s="4">
        <v>15.0</v>
      </c>
      <c r="N76" s="4">
        <v>0.0</v>
      </c>
      <c r="O76" s="4">
        <v>14.0</v>
      </c>
      <c r="P76" s="4">
        <v>0.0</v>
      </c>
      <c r="Q76" s="5" t="s">
        <v>380</v>
      </c>
      <c r="R76" s="4">
        <v>331584.0</v>
      </c>
      <c r="S76" s="4">
        <v>399941.44</v>
      </c>
      <c r="T76" s="4">
        <v>137961.46</v>
      </c>
      <c r="U76" s="5" t="s">
        <v>381</v>
      </c>
      <c r="V76" s="5" t="s">
        <v>36</v>
      </c>
      <c r="W76" s="4">
        <v>0.0</v>
      </c>
      <c r="X76" s="4">
        <v>0.0</v>
      </c>
      <c r="Y76" s="4">
        <v>29.0</v>
      </c>
      <c r="Z76" s="4">
        <v>29.0</v>
      </c>
      <c r="AA76" s="4">
        <v>231.0</v>
      </c>
      <c r="AB76" s="4">
        <v>260.0</v>
      </c>
      <c r="AC76" s="5" t="s">
        <v>382</v>
      </c>
      <c r="AD76" s="5"/>
      <c r="AE76" s="5"/>
    </row>
    <row r="77">
      <c r="A77" s="4">
        <v>-8572078.3933</v>
      </c>
      <c r="B77" s="4">
        <v>4703669.8155</v>
      </c>
      <c r="C77" s="4">
        <v>361890.0</v>
      </c>
      <c r="D77" s="5" t="s">
        <v>45</v>
      </c>
      <c r="E77" s="5" t="s">
        <v>383</v>
      </c>
      <c r="F77" s="5" t="s">
        <v>384</v>
      </c>
      <c r="G77" s="5" t="s">
        <v>33</v>
      </c>
      <c r="H77" s="5" t="s">
        <v>374</v>
      </c>
      <c r="I77" s="4">
        <v>75.0</v>
      </c>
      <c r="J77" s="4">
        <v>38.8742064</v>
      </c>
      <c r="K77" s="4">
        <v>-77.00428809</v>
      </c>
      <c r="L77" s="4">
        <v>0.0</v>
      </c>
      <c r="M77" s="4">
        <v>75.0</v>
      </c>
      <c r="N77" s="4">
        <v>0.0</v>
      </c>
      <c r="O77" s="4">
        <v>0.0</v>
      </c>
      <c r="P77" s="4">
        <v>0.0</v>
      </c>
      <c r="Q77" s="5" t="s">
        <v>385</v>
      </c>
      <c r="R77" s="4">
        <v>331690.0</v>
      </c>
      <c r="S77" s="4">
        <v>399627.9</v>
      </c>
      <c r="T77" s="4">
        <v>134042.02</v>
      </c>
      <c r="U77" s="5" t="s">
        <v>386</v>
      </c>
      <c r="V77" s="5" t="s">
        <v>36</v>
      </c>
      <c r="W77" s="4">
        <v>0.0</v>
      </c>
      <c r="X77" s="4">
        <v>0.0</v>
      </c>
      <c r="Y77" s="4">
        <v>75.0</v>
      </c>
      <c r="Z77" s="4">
        <v>75.0</v>
      </c>
      <c r="AA77" s="4">
        <v>304.0</v>
      </c>
      <c r="AB77" s="4">
        <v>379.0</v>
      </c>
      <c r="AC77" s="5" t="s">
        <v>387</v>
      </c>
      <c r="AD77" s="5"/>
      <c r="AE77" s="5"/>
    </row>
    <row r="78">
      <c r="A78" s="4">
        <v>-8572643.7003</v>
      </c>
      <c r="B78" s="4">
        <v>4709133.1601</v>
      </c>
      <c r="C78" s="4">
        <v>361892.0</v>
      </c>
      <c r="D78" s="5" t="s">
        <v>56</v>
      </c>
      <c r="E78" s="5" t="s">
        <v>388</v>
      </c>
      <c r="F78" s="5" t="s">
        <v>389</v>
      </c>
      <c r="G78" s="5" t="s">
        <v>33</v>
      </c>
      <c r="H78" s="5" t="s">
        <v>34</v>
      </c>
      <c r="I78" s="4">
        <v>1.0</v>
      </c>
      <c r="J78" s="4">
        <v>38.91240498</v>
      </c>
      <c r="K78" s="4">
        <v>-77.00936633</v>
      </c>
      <c r="L78" s="4">
        <v>0.0</v>
      </c>
      <c r="M78" s="4">
        <v>0.0</v>
      </c>
      <c r="N78" s="4">
        <v>0.0</v>
      </c>
      <c r="O78" s="4">
        <v>1.0</v>
      </c>
      <c r="P78" s="4">
        <v>0.0</v>
      </c>
      <c r="Q78" s="5"/>
      <c r="R78" s="4">
        <v>226757.0</v>
      </c>
      <c r="S78" s="4">
        <v>399187.67</v>
      </c>
      <c r="T78" s="4">
        <v>138282.36</v>
      </c>
      <c r="U78" s="5" t="s">
        <v>390</v>
      </c>
      <c r="V78" s="5" t="s">
        <v>36</v>
      </c>
      <c r="W78" s="4">
        <v>0.0</v>
      </c>
      <c r="X78" s="4">
        <v>0.0</v>
      </c>
      <c r="Y78" s="4">
        <v>1.0</v>
      </c>
      <c r="Z78" s="4">
        <v>1.0</v>
      </c>
      <c r="AA78" s="4">
        <v>4.0</v>
      </c>
      <c r="AB78" s="4">
        <v>5.0</v>
      </c>
      <c r="AC78" s="5" t="s">
        <v>391</v>
      </c>
      <c r="AD78" s="5"/>
      <c r="AE78" s="7" t="s">
        <v>38</v>
      </c>
    </row>
    <row r="79">
      <c r="A79" s="4">
        <v>-8570062.4486</v>
      </c>
      <c r="B79" s="4">
        <v>4704937.5512</v>
      </c>
      <c r="C79" s="4">
        <v>361893.0</v>
      </c>
      <c r="D79" s="5" t="s">
        <v>39</v>
      </c>
      <c r="E79" s="5" t="s">
        <v>392</v>
      </c>
      <c r="F79" s="5" t="s">
        <v>393</v>
      </c>
      <c r="G79" s="5" t="s">
        <v>33</v>
      </c>
      <c r="H79" s="5" t="s">
        <v>34</v>
      </c>
      <c r="I79" s="4">
        <v>42.0</v>
      </c>
      <c r="J79" s="4">
        <v>38.8830719</v>
      </c>
      <c r="K79" s="4">
        <v>-76.98617856</v>
      </c>
      <c r="L79" s="4">
        <v>0.0</v>
      </c>
      <c r="M79" s="4">
        <v>6.0</v>
      </c>
      <c r="N79" s="4">
        <v>36.0</v>
      </c>
      <c r="O79" s="4">
        <v>0.0</v>
      </c>
      <c r="P79" s="4">
        <v>0.0</v>
      </c>
      <c r="Q79" s="5"/>
      <c r="R79" s="4">
        <v>320512.0</v>
      </c>
      <c r="S79" s="4">
        <v>401199.21</v>
      </c>
      <c r="T79" s="4">
        <v>135026.24</v>
      </c>
      <c r="U79" s="5" t="s">
        <v>394</v>
      </c>
      <c r="V79" s="5" t="s">
        <v>36</v>
      </c>
      <c r="W79" s="4">
        <v>0.0</v>
      </c>
      <c r="X79" s="4">
        <v>0.0</v>
      </c>
      <c r="Y79" s="4">
        <v>42.0</v>
      </c>
      <c r="Z79" s="4">
        <v>42.0</v>
      </c>
      <c r="AA79" s="4">
        <v>283.0</v>
      </c>
      <c r="AB79" s="4">
        <v>325.0</v>
      </c>
      <c r="AC79" s="5" t="s">
        <v>395</v>
      </c>
      <c r="AD79" s="5"/>
      <c r="AE79" s="7" t="s">
        <v>38</v>
      </c>
    </row>
    <row r="80">
      <c r="A80" s="4">
        <v>-8574644.1999</v>
      </c>
      <c r="B80" s="4">
        <v>4717762.097</v>
      </c>
      <c r="C80" s="4">
        <v>361894.0</v>
      </c>
      <c r="D80" s="5" t="s">
        <v>51</v>
      </c>
      <c r="E80" s="5" t="s">
        <v>396</v>
      </c>
      <c r="F80" s="5" t="s">
        <v>397</v>
      </c>
      <c r="G80" s="5" t="s">
        <v>33</v>
      </c>
      <c r="H80" s="5" t="s">
        <v>63</v>
      </c>
      <c r="I80" s="4">
        <v>38.0</v>
      </c>
      <c r="J80" s="4">
        <v>38.97272325</v>
      </c>
      <c r="K80" s="4">
        <v>-77.027552</v>
      </c>
      <c r="L80" s="4">
        <v>0.0</v>
      </c>
      <c r="M80" s="4">
        <v>3.0</v>
      </c>
      <c r="N80" s="4">
        <v>0.0</v>
      </c>
      <c r="O80" s="4">
        <v>35.0</v>
      </c>
      <c r="P80" s="4">
        <v>0.0</v>
      </c>
      <c r="Q80" s="5"/>
      <c r="R80" s="4">
        <v>292802.0</v>
      </c>
      <c r="S80" s="4">
        <v>397631.09</v>
      </c>
      <c r="T80" s="4">
        <v>144975.33</v>
      </c>
      <c r="U80" s="5" t="s">
        <v>398</v>
      </c>
      <c r="V80" s="5" t="s">
        <v>36</v>
      </c>
      <c r="W80" s="4">
        <v>0.0</v>
      </c>
      <c r="X80" s="4">
        <v>0.0</v>
      </c>
      <c r="Y80" s="4">
        <v>38.0</v>
      </c>
      <c r="Z80" s="4">
        <v>38.0</v>
      </c>
      <c r="AA80" s="4">
        <v>352.0</v>
      </c>
      <c r="AB80" s="4">
        <v>390.0</v>
      </c>
      <c r="AC80" s="5" t="s">
        <v>399</v>
      </c>
      <c r="AD80" s="5"/>
      <c r="AE80" s="7" t="s">
        <v>38</v>
      </c>
    </row>
    <row r="81">
      <c r="A81" s="4">
        <v>-8574008.9918</v>
      </c>
      <c r="B81" s="4">
        <v>4704106.5724</v>
      </c>
      <c r="C81" s="4">
        <v>361896.0</v>
      </c>
      <c r="D81" s="5" t="s">
        <v>39</v>
      </c>
      <c r="E81" s="5" t="s">
        <v>400</v>
      </c>
      <c r="F81" s="5" t="s">
        <v>401</v>
      </c>
      <c r="G81" s="5" t="s">
        <v>33</v>
      </c>
      <c r="H81" s="5" t="s">
        <v>72</v>
      </c>
      <c r="I81" s="4">
        <v>62.0</v>
      </c>
      <c r="J81" s="4">
        <v>38.87726084</v>
      </c>
      <c r="K81" s="4">
        <v>-77.02163095</v>
      </c>
      <c r="L81" s="4">
        <v>36.0</v>
      </c>
      <c r="M81" s="4">
        <v>0.0</v>
      </c>
      <c r="N81" s="4">
        <v>26.0</v>
      </c>
      <c r="O81" s="4">
        <v>0.0</v>
      </c>
      <c r="P81" s="4">
        <v>74.0</v>
      </c>
      <c r="Q81" s="5" t="s">
        <v>402</v>
      </c>
      <c r="R81" s="4">
        <v>331860.0</v>
      </c>
      <c r="S81" s="4">
        <v>398123.05</v>
      </c>
      <c r="T81" s="4">
        <v>134381.3</v>
      </c>
      <c r="U81" s="5" t="s">
        <v>403</v>
      </c>
      <c r="V81" s="5" t="s">
        <v>36</v>
      </c>
      <c r="W81" s="4">
        <v>0.0</v>
      </c>
      <c r="X81" s="4">
        <v>0.0</v>
      </c>
      <c r="Y81" s="4">
        <v>62.0</v>
      </c>
      <c r="Z81" s="4">
        <v>62.0</v>
      </c>
      <c r="AA81" s="4">
        <v>215.0</v>
      </c>
      <c r="AB81" s="4">
        <v>351.0</v>
      </c>
      <c r="AC81" s="5" t="s">
        <v>231</v>
      </c>
      <c r="AD81" s="5"/>
      <c r="AE81" s="5"/>
    </row>
    <row r="82">
      <c r="A82" s="4">
        <v>-8569554.0277</v>
      </c>
      <c r="B82" s="4">
        <v>4707831.8274</v>
      </c>
      <c r="C82" s="4">
        <v>361898.0</v>
      </c>
      <c r="D82" s="5" t="s">
        <v>56</v>
      </c>
      <c r="E82" s="5" t="s">
        <v>404</v>
      </c>
      <c r="F82" s="5" t="s">
        <v>405</v>
      </c>
      <c r="G82" s="5" t="s">
        <v>33</v>
      </c>
      <c r="H82" s="5" t="s">
        <v>34</v>
      </c>
      <c r="I82" s="4">
        <v>3.0</v>
      </c>
      <c r="J82" s="4">
        <v>38.90325639</v>
      </c>
      <c r="K82" s="4">
        <v>-76.98161031</v>
      </c>
      <c r="L82" s="4">
        <v>0.0</v>
      </c>
      <c r="M82" s="4">
        <v>1.0</v>
      </c>
      <c r="N82" s="4">
        <v>2.0</v>
      </c>
      <c r="O82" s="4">
        <v>0.0</v>
      </c>
      <c r="P82" s="4">
        <v>0.0</v>
      </c>
      <c r="Q82" s="5"/>
      <c r="R82" s="4">
        <v>75088.0</v>
      </c>
      <c r="S82" s="4">
        <v>401595.03</v>
      </c>
      <c r="T82" s="4">
        <v>137272.67</v>
      </c>
      <c r="U82" s="5" t="s">
        <v>406</v>
      </c>
      <c r="V82" s="5" t="s">
        <v>36</v>
      </c>
      <c r="W82" s="4">
        <v>0.0</v>
      </c>
      <c r="X82" s="4">
        <v>0.0</v>
      </c>
      <c r="Y82" s="4">
        <v>3.0</v>
      </c>
      <c r="Z82" s="4">
        <v>3.0</v>
      </c>
      <c r="AA82" s="4">
        <v>40.0</v>
      </c>
      <c r="AB82" s="4">
        <v>43.0</v>
      </c>
      <c r="AC82" s="5" t="s">
        <v>399</v>
      </c>
      <c r="AD82" s="5"/>
      <c r="AE82" s="7" t="s">
        <v>50</v>
      </c>
    </row>
    <row r="83">
      <c r="A83" s="4">
        <v>-8573297.1099</v>
      </c>
      <c r="B83" s="4">
        <v>4710058.5686</v>
      </c>
      <c r="C83" s="4">
        <v>361899.0</v>
      </c>
      <c r="D83" s="5" t="s">
        <v>114</v>
      </c>
      <c r="E83" s="5" t="s">
        <v>407</v>
      </c>
      <c r="F83" s="5" t="s">
        <v>408</v>
      </c>
      <c r="G83" s="5" t="s">
        <v>33</v>
      </c>
      <c r="H83" s="5" t="s">
        <v>34</v>
      </c>
      <c r="I83" s="4">
        <v>1.0</v>
      </c>
      <c r="J83" s="4">
        <v>38.91891171</v>
      </c>
      <c r="K83" s="4">
        <v>-77.01525965</v>
      </c>
      <c r="L83" s="4">
        <v>0.0</v>
      </c>
      <c r="M83" s="4">
        <v>0.0</v>
      </c>
      <c r="N83" s="4">
        <v>1.0</v>
      </c>
      <c r="O83" s="4">
        <v>0.0</v>
      </c>
      <c r="P83" s="4">
        <v>0.0</v>
      </c>
      <c r="Q83" s="5"/>
      <c r="R83" s="4">
        <v>229527.0</v>
      </c>
      <c r="S83" s="4">
        <v>398678.72</v>
      </c>
      <c r="T83" s="4">
        <v>139000.45</v>
      </c>
      <c r="U83" s="5" t="s">
        <v>409</v>
      </c>
      <c r="V83" s="5" t="s">
        <v>36</v>
      </c>
      <c r="W83" s="4">
        <v>0.0</v>
      </c>
      <c r="X83" s="4">
        <v>0.0</v>
      </c>
      <c r="Y83" s="4">
        <v>1.0</v>
      </c>
      <c r="Z83" s="4">
        <v>1.0</v>
      </c>
      <c r="AA83" s="4">
        <v>17.0</v>
      </c>
      <c r="AB83" s="4">
        <v>18.0</v>
      </c>
      <c r="AC83" s="5" t="s">
        <v>410</v>
      </c>
      <c r="AD83" s="5"/>
      <c r="AE83" s="7" t="s">
        <v>50</v>
      </c>
    </row>
    <row r="84">
      <c r="A84" s="4">
        <v>-8569360.0238</v>
      </c>
      <c r="B84" s="4">
        <v>4707640.7001</v>
      </c>
      <c r="C84" s="4">
        <v>361900.0</v>
      </c>
      <c r="D84" s="5" t="s">
        <v>56</v>
      </c>
      <c r="E84" s="5" t="s">
        <v>411</v>
      </c>
      <c r="F84" s="5" t="s">
        <v>412</v>
      </c>
      <c r="G84" s="5" t="s">
        <v>33</v>
      </c>
      <c r="H84" s="5" t="s">
        <v>34</v>
      </c>
      <c r="I84" s="4">
        <v>24.0</v>
      </c>
      <c r="J84" s="4">
        <v>38.9019718</v>
      </c>
      <c r="K84" s="4">
        <v>-76.97986857</v>
      </c>
      <c r="L84" s="4">
        <v>0.0</v>
      </c>
      <c r="M84" s="4">
        <v>0.0</v>
      </c>
      <c r="N84" s="4">
        <v>24.0</v>
      </c>
      <c r="O84" s="4">
        <v>0.0</v>
      </c>
      <c r="P84" s="4">
        <v>0.0</v>
      </c>
      <c r="Q84" s="5"/>
      <c r="R84" s="4">
        <v>310898.0</v>
      </c>
      <c r="S84" s="4">
        <v>401746.23</v>
      </c>
      <c r="T84" s="4">
        <v>137124.38</v>
      </c>
      <c r="U84" s="5" t="s">
        <v>413</v>
      </c>
      <c r="V84" s="5" t="s">
        <v>36</v>
      </c>
      <c r="W84" s="4">
        <v>0.0</v>
      </c>
      <c r="X84" s="4">
        <v>0.0</v>
      </c>
      <c r="Y84" s="4">
        <v>24.0</v>
      </c>
      <c r="Z84" s="4">
        <v>24.0</v>
      </c>
      <c r="AA84" s="4">
        <v>292.0</v>
      </c>
      <c r="AB84" s="4">
        <v>316.0</v>
      </c>
      <c r="AC84" s="5" t="s">
        <v>414</v>
      </c>
      <c r="AD84" s="5"/>
      <c r="AE84" s="7" t="s">
        <v>50</v>
      </c>
    </row>
    <row r="85">
      <c r="A85" s="4">
        <v>-8571000.1785</v>
      </c>
      <c r="B85" s="4">
        <v>4711620.1207</v>
      </c>
      <c r="C85" s="4">
        <v>361901.0</v>
      </c>
      <c r="D85" s="5" t="s">
        <v>56</v>
      </c>
      <c r="E85" s="5" t="s">
        <v>415</v>
      </c>
      <c r="F85" s="5" t="s">
        <v>416</v>
      </c>
      <c r="G85" s="5" t="s">
        <v>33</v>
      </c>
      <c r="H85" s="5" t="s">
        <v>42</v>
      </c>
      <c r="I85" s="4">
        <v>46.0</v>
      </c>
      <c r="J85" s="4">
        <v>38.92967908</v>
      </c>
      <c r="K85" s="4">
        <v>-76.99470728</v>
      </c>
      <c r="L85" s="4">
        <v>3.0</v>
      </c>
      <c r="M85" s="4">
        <v>6.0</v>
      </c>
      <c r="N85" s="4">
        <v>31.0</v>
      </c>
      <c r="O85" s="4">
        <v>6.0</v>
      </c>
      <c r="P85" s="4">
        <v>0.0</v>
      </c>
      <c r="Q85" s="5" t="s">
        <v>417</v>
      </c>
      <c r="R85" s="4">
        <v>289586.0</v>
      </c>
      <c r="S85" s="4">
        <v>400468.02</v>
      </c>
      <c r="T85" s="4">
        <v>140211.81</v>
      </c>
      <c r="U85" s="5" t="s">
        <v>418</v>
      </c>
      <c r="V85" s="5" t="s">
        <v>36</v>
      </c>
      <c r="W85" s="4">
        <v>0.0</v>
      </c>
      <c r="X85" s="4">
        <v>0.0</v>
      </c>
      <c r="Y85" s="4">
        <v>46.0</v>
      </c>
      <c r="Z85" s="4">
        <v>46.0</v>
      </c>
      <c r="AA85" s="4">
        <v>331.0</v>
      </c>
      <c r="AB85" s="4">
        <v>377.0</v>
      </c>
      <c r="AC85" s="5" t="s">
        <v>419</v>
      </c>
      <c r="AD85" s="5"/>
      <c r="AE85" s="7" t="s">
        <v>50</v>
      </c>
    </row>
    <row r="86">
      <c r="A86" s="4">
        <v>-8571919.6918</v>
      </c>
      <c r="B86" s="4">
        <v>4708587.6725</v>
      </c>
      <c r="C86" s="4">
        <v>361902.0</v>
      </c>
      <c r="D86" s="5" t="s">
        <v>56</v>
      </c>
      <c r="E86" s="5" t="s">
        <v>420</v>
      </c>
      <c r="F86" s="5" t="s">
        <v>421</v>
      </c>
      <c r="G86" s="5" t="s">
        <v>33</v>
      </c>
      <c r="H86" s="5" t="s">
        <v>42</v>
      </c>
      <c r="I86" s="4">
        <v>23.0</v>
      </c>
      <c r="J86" s="4">
        <v>38.90859167</v>
      </c>
      <c r="K86" s="4">
        <v>-77.00286245</v>
      </c>
      <c r="L86" s="4">
        <v>0.0</v>
      </c>
      <c r="M86" s="4">
        <v>0.0</v>
      </c>
      <c r="N86" s="4">
        <v>5.0</v>
      </c>
      <c r="O86" s="4">
        <v>18.0</v>
      </c>
      <c r="P86" s="4">
        <v>0.0</v>
      </c>
      <c r="Q86" s="5" t="s">
        <v>422</v>
      </c>
      <c r="R86" s="4">
        <v>306458.0</v>
      </c>
      <c r="S86" s="4">
        <v>399751.73</v>
      </c>
      <c r="T86" s="4">
        <v>137859.05</v>
      </c>
      <c r="U86" s="5" t="s">
        <v>423</v>
      </c>
      <c r="V86" s="5" t="s">
        <v>36</v>
      </c>
      <c r="W86" s="4">
        <v>0.0</v>
      </c>
      <c r="X86" s="4">
        <v>0.0</v>
      </c>
      <c r="Y86" s="4">
        <v>23.0</v>
      </c>
      <c r="Z86" s="4">
        <v>23.0</v>
      </c>
      <c r="AA86" s="4">
        <v>231.0</v>
      </c>
      <c r="AB86" s="4">
        <v>254.0</v>
      </c>
      <c r="AC86" s="5" t="s">
        <v>424</v>
      </c>
      <c r="AD86" s="5"/>
      <c r="AE86" s="5"/>
    </row>
    <row r="87">
      <c r="A87" s="4">
        <v>-8563160.6675</v>
      </c>
      <c r="B87" s="4">
        <v>4707950.483</v>
      </c>
      <c r="C87" s="4">
        <v>361903.0</v>
      </c>
      <c r="D87" s="5" t="s">
        <v>30</v>
      </c>
      <c r="E87" s="5" t="s">
        <v>425</v>
      </c>
      <c r="F87" s="5" t="s">
        <v>426</v>
      </c>
      <c r="G87" s="5" t="s">
        <v>33</v>
      </c>
      <c r="H87" s="5" t="s">
        <v>258</v>
      </c>
      <c r="I87" s="4">
        <v>63.0</v>
      </c>
      <c r="J87" s="4">
        <v>38.90418775</v>
      </c>
      <c r="K87" s="4">
        <v>-76.92430916</v>
      </c>
      <c r="L87" s="4">
        <v>13.0</v>
      </c>
      <c r="M87" s="4">
        <v>50.0</v>
      </c>
      <c r="N87" s="4">
        <v>0.0</v>
      </c>
      <c r="O87" s="4">
        <v>0.0</v>
      </c>
      <c r="P87" s="4">
        <v>0.0</v>
      </c>
      <c r="Q87" s="5"/>
      <c r="R87" s="4">
        <v>74597.0</v>
      </c>
      <c r="S87" s="4">
        <v>406576.64</v>
      </c>
      <c r="T87" s="4">
        <v>137367.32</v>
      </c>
      <c r="U87" s="5" t="s">
        <v>427</v>
      </c>
      <c r="V87" s="5" t="s">
        <v>36</v>
      </c>
      <c r="W87" s="4">
        <v>0.0</v>
      </c>
      <c r="X87" s="4">
        <v>0.0</v>
      </c>
      <c r="Y87" s="4">
        <v>63.0</v>
      </c>
      <c r="Z87" s="4">
        <v>63.0</v>
      </c>
      <c r="AA87" s="4">
        <v>0.0</v>
      </c>
      <c r="AB87" s="4">
        <v>63.0</v>
      </c>
      <c r="AC87" s="5" t="s">
        <v>428</v>
      </c>
      <c r="AD87" s="5"/>
      <c r="AE87" s="5"/>
    </row>
    <row r="88">
      <c r="A88" s="4">
        <v>-8566390.1567</v>
      </c>
      <c r="B88" s="4">
        <v>4705943.7862</v>
      </c>
      <c r="C88" s="4">
        <v>361904.0</v>
      </c>
      <c r="D88" s="5" t="s">
        <v>30</v>
      </c>
      <c r="E88" s="5" t="s">
        <v>429</v>
      </c>
      <c r="F88" s="5" t="s">
        <v>430</v>
      </c>
      <c r="G88" s="5" t="s">
        <v>33</v>
      </c>
      <c r="H88" s="5" t="s">
        <v>431</v>
      </c>
      <c r="I88" s="4">
        <v>95.0</v>
      </c>
      <c r="J88" s="4">
        <v>38.89011013</v>
      </c>
      <c r="K88" s="4">
        <v>-76.95362678</v>
      </c>
      <c r="L88" s="4">
        <v>5.0</v>
      </c>
      <c r="M88" s="4">
        <v>90.0</v>
      </c>
      <c r="N88" s="4">
        <v>0.0</v>
      </c>
      <c r="O88" s="4">
        <v>0.0</v>
      </c>
      <c r="P88" s="4">
        <v>0.0</v>
      </c>
      <c r="Q88" s="5"/>
      <c r="R88" s="4">
        <v>287970.0</v>
      </c>
      <c r="S88" s="4">
        <v>404061.06</v>
      </c>
      <c r="T88" s="4">
        <v>135808.24</v>
      </c>
      <c r="U88" s="5" t="s">
        <v>432</v>
      </c>
      <c r="V88" s="5" t="s">
        <v>36</v>
      </c>
      <c r="W88" s="4">
        <v>0.0</v>
      </c>
      <c r="X88" s="4">
        <v>0.0</v>
      </c>
      <c r="Y88" s="4">
        <v>95.0</v>
      </c>
      <c r="Z88" s="4">
        <v>95.0</v>
      </c>
      <c r="AA88" s="4">
        <v>0.0</v>
      </c>
      <c r="AB88" s="4">
        <v>95.0</v>
      </c>
      <c r="AC88" s="5" t="s">
        <v>433</v>
      </c>
      <c r="AD88" s="5"/>
      <c r="AE88" s="7" t="s">
        <v>50</v>
      </c>
    </row>
    <row r="89">
      <c r="A89" s="4">
        <v>-8566693.3561</v>
      </c>
      <c r="B89" s="4">
        <v>4705127.9912</v>
      </c>
      <c r="C89" s="4">
        <v>361905.0</v>
      </c>
      <c r="D89" s="5" t="s">
        <v>30</v>
      </c>
      <c r="E89" s="5" t="s">
        <v>434</v>
      </c>
      <c r="F89" s="5" t="s">
        <v>435</v>
      </c>
      <c r="G89" s="5" t="s">
        <v>33</v>
      </c>
      <c r="H89" s="5" t="s">
        <v>431</v>
      </c>
      <c r="I89" s="4">
        <v>15.0</v>
      </c>
      <c r="J89" s="4">
        <v>38.88436039</v>
      </c>
      <c r="K89" s="4">
        <v>-76.9558771</v>
      </c>
      <c r="L89" s="4">
        <v>3.0</v>
      </c>
      <c r="M89" s="4">
        <v>10.0</v>
      </c>
      <c r="N89" s="4">
        <v>2.0</v>
      </c>
      <c r="O89" s="4">
        <v>0.0</v>
      </c>
      <c r="P89" s="4">
        <v>0.0</v>
      </c>
      <c r="Q89" s="5"/>
      <c r="R89" s="4">
        <v>28142.0</v>
      </c>
      <c r="S89" s="4">
        <v>403825.07</v>
      </c>
      <c r="T89" s="4">
        <v>135174.9</v>
      </c>
      <c r="U89" s="5" t="s">
        <v>436</v>
      </c>
      <c r="V89" s="5" t="s">
        <v>36</v>
      </c>
      <c r="W89" s="4">
        <v>0.0</v>
      </c>
      <c r="X89" s="4">
        <v>0.0</v>
      </c>
      <c r="Y89" s="4">
        <v>15.0</v>
      </c>
      <c r="Z89" s="4">
        <v>15.0</v>
      </c>
      <c r="AA89" s="4">
        <v>0.0</v>
      </c>
      <c r="AB89" s="4">
        <v>15.0</v>
      </c>
      <c r="AC89" s="5" t="s">
        <v>437</v>
      </c>
      <c r="AD89" s="5"/>
      <c r="AE89" s="7" t="s">
        <v>50</v>
      </c>
    </row>
    <row r="90">
      <c r="A90" s="4">
        <v>-8574488.117</v>
      </c>
      <c r="B90" s="4">
        <v>4712856.1624</v>
      </c>
      <c r="C90" s="4">
        <v>361906.0</v>
      </c>
      <c r="D90" s="5" t="s">
        <v>51</v>
      </c>
      <c r="E90" s="5" t="s">
        <v>438</v>
      </c>
      <c r="F90" s="5" t="s">
        <v>439</v>
      </c>
      <c r="G90" s="5" t="s">
        <v>33</v>
      </c>
      <c r="H90" s="5" t="s">
        <v>81</v>
      </c>
      <c r="I90" s="4">
        <v>84.0</v>
      </c>
      <c r="J90" s="4">
        <v>38.93842345</v>
      </c>
      <c r="K90" s="4">
        <v>-77.025935</v>
      </c>
      <c r="L90" s="4">
        <v>0.0</v>
      </c>
      <c r="M90" s="4">
        <v>10.0</v>
      </c>
      <c r="N90" s="4">
        <v>74.0</v>
      </c>
      <c r="O90" s="4">
        <v>0.0</v>
      </c>
      <c r="P90" s="4">
        <v>0.0</v>
      </c>
      <c r="Q90" s="5"/>
      <c r="R90" s="4">
        <v>225073.0</v>
      </c>
      <c r="S90" s="4">
        <v>397751.51</v>
      </c>
      <c r="T90" s="4">
        <v>141170.91</v>
      </c>
      <c r="U90" s="5" t="s">
        <v>440</v>
      </c>
      <c r="V90" s="5" t="s">
        <v>36</v>
      </c>
      <c r="W90" s="4">
        <v>84.0</v>
      </c>
      <c r="X90" s="4">
        <v>0.0</v>
      </c>
      <c r="Y90" s="4">
        <v>0.0</v>
      </c>
      <c r="Z90" s="4">
        <v>0.0</v>
      </c>
      <c r="AA90" s="4">
        <v>0.0</v>
      </c>
      <c r="AB90" s="4">
        <v>84.0</v>
      </c>
      <c r="AC90" s="5" t="s">
        <v>441</v>
      </c>
      <c r="AD90" s="5"/>
      <c r="AE90" s="7" t="s">
        <v>50</v>
      </c>
    </row>
    <row r="91">
      <c r="A91" s="4">
        <v>-8575068.7091</v>
      </c>
      <c r="B91" s="4">
        <v>4709127.9542</v>
      </c>
      <c r="C91" s="4">
        <v>361907.0</v>
      </c>
      <c r="D91" s="5" t="s">
        <v>442</v>
      </c>
      <c r="E91" s="5" t="s">
        <v>443</v>
      </c>
      <c r="F91" s="5" t="s">
        <v>444</v>
      </c>
      <c r="G91" s="5" t="s">
        <v>33</v>
      </c>
      <c r="H91" s="5" t="s">
        <v>81</v>
      </c>
      <c r="I91" s="4">
        <v>47.0</v>
      </c>
      <c r="J91" s="4">
        <v>38.91236859</v>
      </c>
      <c r="K91" s="4">
        <v>-77.03115054</v>
      </c>
      <c r="L91" s="4">
        <v>47.0</v>
      </c>
      <c r="M91" s="4">
        <v>0.0</v>
      </c>
      <c r="N91" s="4">
        <v>0.0</v>
      </c>
      <c r="O91" s="4">
        <v>0.0</v>
      </c>
      <c r="P91" s="4">
        <v>0.0</v>
      </c>
      <c r="Q91" s="5"/>
      <c r="R91" s="4">
        <v>242888.0</v>
      </c>
      <c r="S91" s="4">
        <v>397298.35</v>
      </c>
      <c r="T91" s="4">
        <v>138278.74</v>
      </c>
      <c r="U91" s="5" t="s">
        <v>445</v>
      </c>
      <c r="V91" s="5" t="s">
        <v>36</v>
      </c>
      <c r="W91" s="4">
        <v>0.0</v>
      </c>
      <c r="X91" s="4">
        <v>0.0</v>
      </c>
      <c r="Y91" s="4">
        <v>47.0</v>
      </c>
      <c r="Z91" s="4">
        <v>47.0</v>
      </c>
      <c r="AA91" s="4">
        <v>0.0</v>
      </c>
      <c r="AB91" s="4">
        <v>47.0</v>
      </c>
      <c r="AC91" s="5" t="s">
        <v>446</v>
      </c>
      <c r="AD91" s="5"/>
      <c r="AE91" s="7" t="s">
        <v>50</v>
      </c>
    </row>
    <row r="92">
      <c r="A92" s="4">
        <v>-8572650.09</v>
      </c>
      <c r="B92" s="4">
        <v>4708861.6313</v>
      </c>
      <c r="C92" s="4">
        <v>361909.0</v>
      </c>
      <c r="D92" s="5" t="s">
        <v>56</v>
      </c>
      <c r="E92" s="5" t="s">
        <v>447</v>
      </c>
      <c r="F92" s="5" t="s">
        <v>448</v>
      </c>
      <c r="G92" s="5" t="s">
        <v>33</v>
      </c>
      <c r="H92" s="5" t="s">
        <v>34</v>
      </c>
      <c r="I92" s="4">
        <v>1.0</v>
      </c>
      <c r="J92" s="4">
        <v>38.91048251</v>
      </c>
      <c r="K92" s="4">
        <v>-77.0093542</v>
      </c>
      <c r="L92" s="4">
        <v>0.0</v>
      </c>
      <c r="M92" s="4">
        <v>0.0</v>
      </c>
      <c r="N92" s="4">
        <v>1.0</v>
      </c>
      <c r="O92" s="4">
        <v>0.0</v>
      </c>
      <c r="P92" s="4">
        <v>0.0</v>
      </c>
      <c r="Q92" s="5"/>
      <c r="R92" s="4">
        <v>218336.0</v>
      </c>
      <c r="S92" s="4">
        <v>399182.67</v>
      </c>
      <c r="T92" s="4">
        <v>138071.67</v>
      </c>
      <c r="U92" s="5" t="s">
        <v>449</v>
      </c>
      <c r="V92" s="5" t="s">
        <v>36</v>
      </c>
      <c r="W92" s="4">
        <v>0.0</v>
      </c>
      <c r="X92" s="4">
        <v>0.0</v>
      </c>
      <c r="Y92" s="4">
        <v>1.0</v>
      </c>
      <c r="Z92" s="4">
        <v>1.0</v>
      </c>
      <c r="AA92" s="4">
        <v>12.0</v>
      </c>
      <c r="AB92" s="4">
        <v>13.0</v>
      </c>
      <c r="AC92" s="5" t="s">
        <v>450</v>
      </c>
      <c r="AD92" s="5"/>
      <c r="AE92" s="7" t="s">
        <v>50</v>
      </c>
    </row>
    <row r="93">
      <c r="A93" s="4">
        <v>-8574756.7541</v>
      </c>
      <c r="B93" s="4">
        <v>4715297.8961</v>
      </c>
      <c r="C93" s="4">
        <v>361911.0</v>
      </c>
      <c r="D93" s="5" t="s">
        <v>442</v>
      </c>
      <c r="E93" s="5" t="s">
        <v>451</v>
      </c>
      <c r="F93" s="5" t="s">
        <v>452</v>
      </c>
      <c r="G93" s="5" t="s">
        <v>310</v>
      </c>
      <c r="H93" s="5" t="s">
        <v>34</v>
      </c>
      <c r="I93" s="4">
        <v>2.0</v>
      </c>
      <c r="J93" s="4">
        <v>38.95531924</v>
      </c>
      <c r="K93" s="4">
        <v>-77.02820219</v>
      </c>
      <c r="L93" s="4">
        <v>0.0</v>
      </c>
      <c r="M93" s="4">
        <v>1.0</v>
      </c>
      <c r="N93" s="4">
        <v>1.0</v>
      </c>
      <c r="O93" s="4">
        <v>0.0</v>
      </c>
      <c r="P93" s="4">
        <v>0.0</v>
      </c>
      <c r="Q93" s="5"/>
      <c r="R93" s="4">
        <v>300657.0</v>
      </c>
      <c r="S93" s="4">
        <v>397542.88</v>
      </c>
      <c r="T93" s="4">
        <v>143064.68</v>
      </c>
      <c r="U93" s="5" t="s">
        <v>453</v>
      </c>
      <c r="V93" s="5" t="s">
        <v>36</v>
      </c>
      <c r="W93" s="4">
        <v>0.0</v>
      </c>
      <c r="X93" s="4">
        <v>0.0</v>
      </c>
      <c r="Y93" s="4">
        <v>2.0</v>
      </c>
      <c r="Z93" s="4">
        <v>2.0</v>
      </c>
      <c r="AA93" s="4">
        <v>18.0</v>
      </c>
      <c r="AB93" s="4">
        <v>20.0</v>
      </c>
      <c r="AC93" s="5"/>
      <c r="AD93" s="5"/>
      <c r="AE93" s="7" t="s">
        <v>312</v>
      </c>
    </row>
    <row r="94">
      <c r="A94" s="4">
        <v>-8575384.1882</v>
      </c>
      <c r="B94" s="4">
        <v>4712759.9997</v>
      </c>
      <c r="C94" s="4">
        <v>361912.0</v>
      </c>
      <c r="D94" s="5" t="s">
        <v>51</v>
      </c>
      <c r="E94" s="5" t="s">
        <v>454</v>
      </c>
      <c r="F94" s="5" t="s">
        <v>455</v>
      </c>
      <c r="G94" s="5" t="s">
        <v>33</v>
      </c>
      <c r="H94" s="5" t="s">
        <v>34</v>
      </c>
      <c r="I94" s="4">
        <v>2.0</v>
      </c>
      <c r="J94" s="4">
        <v>38.93774073</v>
      </c>
      <c r="K94" s="4">
        <v>-77.03396089</v>
      </c>
      <c r="L94" s="4">
        <v>0.0</v>
      </c>
      <c r="M94" s="4">
        <v>0.0</v>
      </c>
      <c r="N94" s="4">
        <v>2.0</v>
      </c>
      <c r="O94" s="4">
        <v>0.0</v>
      </c>
      <c r="P94" s="4">
        <v>0.0</v>
      </c>
      <c r="Q94" s="5"/>
      <c r="R94" s="4">
        <v>277043.0</v>
      </c>
      <c r="S94" s="4">
        <v>397053.61</v>
      </c>
      <c r="T94" s="4">
        <v>141096.55</v>
      </c>
      <c r="U94" s="5" t="s">
        <v>456</v>
      </c>
      <c r="V94" s="5" t="s">
        <v>36</v>
      </c>
      <c r="W94" s="4">
        <v>0.0</v>
      </c>
      <c r="X94" s="4">
        <v>0.0</v>
      </c>
      <c r="Y94" s="4">
        <v>2.0</v>
      </c>
      <c r="Z94" s="4">
        <v>2.0</v>
      </c>
      <c r="AA94" s="4">
        <v>13.0</v>
      </c>
      <c r="AB94" s="4">
        <v>15.0</v>
      </c>
      <c r="AC94" s="5" t="s">
        <v>457</v>
      </c>
      <c r="AD94" s="5"/>
      <c r="AE94" s="7" t="s">
        <v>50</v>
      </c>
    </row>
    <row r="95">
      <c r="A95" s="4">
        <v>-8575342.021</v>
      </c>
      <c r="B95" s="4">
        <v>4712757.6045</v>
      </c>
      <c r="C95" s="4">
        <v>361913.0</v>
      </c>
      <c r="D95" s="5" t="s">
        <v>51</v>
      </c>
      <c r="E95" s="5" t="s">
        <v>458</v>
      </c>
      <c r="F95" s="5" t="s">
        <v>459</v>
      </c>
      <c r="G95" s="5" t="s">
        <v>33</v>
      </c>
      <c r="H95" s="5" t="s">
        <v>34</v>
      </c>
      <c r="I95" s="4">
        <v>1.0</v>
      </c>
      <c r="J95" s="4">
        <v>38.93773446</v>
      </c>
      <c r="K95" s="4">
        <v>-77.03360574</v>
      </c>
      <c r="L95" s="4">
        <v>0.0</v>
      </c>
      <c r="M95" s="4">
        <v>0.0</v>
      </c>
      <c r="N95" s="4">
        <v>1.0</v>
      </c>
      <c r="O95" s="4">
        <v>0.0</v>
      </c>
      <c r="P95" s="4">
        <v>0.0</v>
      </c>
      <c r="Q95" s="5"/>
      <c r="R95" s="4">
        <v>258989.0</v>
      </c>
      <c r="S95" s="4">
        <v>397086.45</v>
      </c>
      <c r="T95" s="4">
        <v>141094.68</v>
      </c>
      <c r="U95" s="5" t="s">
        <v>460</v>
      </c>
      <c r="V95" s="5" t="s">
        <v>36</v>
      </c>
      <c r="W95" s="4">
        <v>0.0</v>
      </c>
      <c r="X95" s="4">
        <v>0.0</v>
      </c>
      <c r="Y95" s="4">
        <v>1.0</v>
      </c>
      <c r="Z95" s="4">
        <v>1.0</v>
      </c>
      <c r="AA95" s="4">
        <v>18.0</v>
      </c>
      <c r="AB95" s="4">
        <v>19.0</v>
      </c>
      <c r="AC95" s="5" t="s">
        <v>332</v>
      </c>
      <c r="AD95" s="5"/>
      <c r="AE95" s="7" t="s">
        <v>50</v>
      </c>
    </row>
    <row r="96">
      <c r="A96" s="4">
        <v>-8576026.2849</v>
      </c>
      <c r="B96" s="4">
        <v>4709617.236</v>
      </c>
      <c r="C96" s="4">
        <v>361914.0</v>
      </c>
      <c r="D96" s="5" t="s">
        <v>442</v>
      </c>
      <c r="E96" s="5" t="s">
        <v>461</v>
      </c>
      <c r="F96" s="5" t="s">
        <v>462</v>
      </c>
      <c r="G96" s="5" t="s">
        <v>33</v>
      </c>
      <c r="H96" s="5" t="s">
        <v>34</v>
      </c>
      <c r="I96" s="4">
        <v>1.0</v>
      </c>
      <c r="J96" s="4">
        <v>38.91581753</v>
      </c>
      <c r="K96" s="4">
        <v>-77.03974834</v>
      </c>
      <c r="L96" s="4">
        <v>0.0</v>
      </c>
      <c r="M96" s="4">
        <v>0.0</v>
      </c>
      <c r="N96" s="4">
        <v>1.0</v>
      </c>
      <c r="O96" s="4">
        <v>0.0</v>
      </c>
      <c r="P96" s="4">
        <v>0.0</v>
      </c>
      <c r="Q96" s="5"/>
      <c r="R96" s="4">
        <v>241407.0</v>
      </c>
      <c r="S96" s="4">
        <v>396552.47</v>
      </c>
      <c r="T96" s="4">
        <v>138658.67</v>
      </c>
      <c r="U96" s="5" t="s">
        <v>463</v>
      </c>
      <c r="V96" s="5" t="s">
        <v>36</v>
      </c>
      <c r="W96" s="4">
        <v>0.0</v>
      </c>
      <c r="X96" s="4">
        <v>0.0</v>
      </c>
      <c r="Y96" s="4">
        <v>1.0</v>
      </c>
      <c r="Z96" s="4">
        <v>1.0</v>
      </c>
      <c r="AA96" s="4">
        <v>4.0</v>
      </c>
      <c r="AB96" s="4">
        <v>5.0</v>
      </c>
      <c r="AC96" s="5" t="s">
        <v>464</v>
      </c>
      <c r="AD96" s="5"/>
      <c r="AE96" s="7" t="s">
        <v>50</v>
      </c>
    </row>
    <row r="97">
      <c r="A97" s="4">
        <v>-8570674.3766</v>
      </c>
      <c r="B97" s="4">
        <v>4702001.4833</v>
      </c>
      <c r="C97" s="4">
        <v>361916.0</v>
      </c>
      <c r="D97" s="5" t="s">
        <v>45</v>
      </c>
      <c r="E97" s="5" t="s">
        <v>465</v>
      </c>
      <c r="F97" s="5" t="s">
        <v>466</v>
      </c>
      <c r="G97" s="5" t="s">
        <v>33</v>
      </c>
      <c r="H97" s="5" t="s">
        <v>34</v>
      </c>
      <c r="I97" s="4">
        <v>1.0</v>
      </c>
      <c r="J97" s="4">
        <v>38.86254606</v>
      </c>
      <c r="K97" s="4">
        <v>-76.9916983</v>
      </c>
      <c r="L97" s="4">
        <v>0.0</v>
      </c>
      <c r="M97" s="4">
        <v>0.0</v>
      </c>
      <c r="N97" s="4">
        <v>1.0</v>
      </c>
      <c r="O97" s="4">
        <v>0.0</v>
      </c>
      <c r="P97" s="4">
        <v>0.0</v>
      </c>
      <c r="Q97" s="5"/>
      <c r="R97" s="4">
        <v>71541.0</v>
      </c>
      <c r="S97" s="4">
        <v>400722.47</v>
      </c>
      <c r="T97" s="4">
        <v>132746.74</v>
      </c>
      <c r="U97" s="5" t="s">
        <v>467</v>
      </c>
      <c r="V97" s="5" t="s">
        <v>36</v>
      </c>
      <c r="W97" s="4">
        <v>0.0</v>
      </c>
      <c r="X97" s="4">
        <v>0.0</v>
      </c>
      <c r="Y97" s="4">
        <v>1.0</v>
      </c>
      <c r="Z97" s="4">
        <v>1.0</v>
      </c>
      <c r="AA97" s="4">
        <v>11.0</v>
      </c>
      <c r="AB97" s="4">
        <v>12.0</v>
      </c>
      <c r="AC97" s="5" t="s">
        <v>468</v>
      </c>
      <c r="AD97" s="5"/>
      <c r="AE97" s="7" t="s">
        <v>50</v>
      </c>
    </row>
    <row r="98">
      <c r="A98" s="4">
        <v>-8575468.8771</v>
      </c>
      <c r="B98" s="4">
        <v>4712311.2874</v>
      </c>
      <c r="C98" s="4">
        <v>361917.0</v>
      </c>
      <c r="D98" s="5" t="s">
        <v>114</v>
      </c>
      <c r="E98" s="5" t="s">
        <v>469</v>
      </c>
      <c r="F98" s="5" t="s">
        <v>470</v>
      </c>
      <c r="G98" s="5" t="s">
        <v>33</v>
      </c>
      <c r="H98" s="5" t="s">
        <v>34</v>
      </c>
      <c r="I98" s="4">
        <v>2.0</v>
      </c>
      <c r="J98" s="4">
        <v>38.9346029</v>
      </c>
      <c r="K98" s="4">
        <v>-77.03476653</v>
      </c>
      <c r="L98" s="4">
        <v>0.0</v>
      </c>
      <c r="M98" s="4">
        <v>0.0</v>
      </c>
      <c r="N98" s="4">
        <v>2.0</v>
      </c>
      <c r="O98" s="4">
        <v>0.0</v>
      </c>
      <c r="P98" s="4">
        <v>0.0</v>
      </c>
      <c r="Q98" s="5"/>
      <c r="R98" s="4">
        <v>234656.0</v>
      </c>
      <c r="S98" s="4">
        <v>396987.52</v>
      </c>
      <c r="T98" s="4">
        <v>140748.52</v>
      </c>
      <c r="U98" s="5" t="s">
        <v>471</v>
      </c>
      <c r="V98" s="5" t="s">
        <v>36</v>
      </c>
      <c r="W98" s="4">
        <v>0.0</v>
      </c>
      <c r="X98" s="4">
        <v>0.0</v>
      </c>
      <c r="Y98" s="4">
        <v>2.0</v>
      </c>
      <c r="Z98" s="4">
        <v>2.0</v>
      </c>
      <c r="AA98" s="4">
        <v>24.0</v>
      </c>
      <c r="AB98" s="4">
        <v>26.0</v>
      </c>
      <c r="AC98" s="5" t="s">
        <v>149</v>
      </c>
      <c r="AD98" s="5"/>
      <c r="AE98" s="7" t="s">
        <v>50</v>
      </c>
    </row>
    <row r="99">
      <c r="A99" s="4">
        <v>-8570674.3766</v>
      </c>
      <c r="B99" s="4">
        <v>4702001.4833</v>
      </c>
      <c r="C99" s="4">
        <v>361916.0</v>
      </c>
      <c r="D99" s="5" t="s">
        <v>45</v>
      </c>
      <c r="E99" s="5" t="s">
        <v>465</v>
      </c>
      <c r="F99" s="5" t="s">
        <v>466</v>
      </c>
      <c r="G99" s="5" t="s">
        <v>33</v>
      </c>
      <c r="H99" s="5" t="s">
        <v>34</v>
      </c>
      <c r="I99" s="4">
        <v>1.0</v>
      </c>
      <c r="J99" s="4">
        <v>38.86254606</v>
      </c>
      <c r="K99" s="4">
        <v>-76.9916983</v>
      </c>
      <c r="L99" s="4">
        <v>0.0</v>
      </c>
      <c r="M99" s="4">
        <v>0.0</v>
      </c>
      <c r="N99" s="4">
        <v>1.0</v>
      </c>
      <c r="O99" s="4">
        <v>0.0</v>
      </c>
      <c r="P99" s="4">
        <v>0.0</v>
      </c>
      <c r="Q99" s="5"/>
      <c r="R99" s="4">
        <v>71541.0</v>
      </c>
      <c r="S99" s="4">
        <v>400722.47</v>
      </c>
      <c r="T99" s="4">
        <v>132746.74</v>
      </c>
      <c r="U99" s="5" t="s">
        <v>467</v>
      </c>
      <c r="V99" s="5" t="s">
        <v>36</v>
      </c>
      <c r="W99" s="4">
        <v>0.0</v>
      </c>
      <c r="X99" s="4">
        <v>0.0</v>
      </c>
      <c r="Y99" s="4">
        <v>1.0</v>
      </c>
      <c r="Z99" s="4">
        <v>1.0</v>
      </c>
      <c r="AA99" s="4">
        <v>11.0</v>
      </c>
      <c r="AB99" s="4">
        <v>12.0</v>
      </c>
      <c r="AC99" s="5" t="s">
        <v>468</v>
      </c>
      <c r="AD99" s="5"/>
      <c r="AE99" s="7" t="s">
        <v>50</v>
      </c>
    </row>
    <row r="100">
      <c r="A100" s="4">
        <v>-8575468.8771</v>
      </c>
      <c r="B100" s="4">
        <v>4712311.2874</v>
      </c>
      <c r="C100" s="4">
        <v>361917.0</v>
      </c>
      <c r="D100" s="5" t="s">
        <v>114</v>
      </c>
      <c r="E100" s="5" t="s">
        <v>469</v>
      </c>
      <c r="F100" s="5" t="s">
        <v>470</v>
      </c>
      <c r="G100" s="5" t="s">
        <v>33</v>
      </c>
      <c r="H100" s="5" t="s">
        <v>34</v>
      </c>
      <c r="I100" s="4">
        <v>2.0</v>
      </c>
      <c r="J100" s="4">
        <v>38.9346029</v>
      </c>
      <c r="K100" s="4">
        <v>-77.03476653</v>
      </c>
      <c r="L100" s="4">
        <v>0.0</v>
      </c>
      <c r="M100" s="4">
        <v>0.0</v>
      </c>
      <c r="N100" s="4">
        <v>2.0</v>
      </c>
      <c r="O100" s="4">
        <v>0.0</v>
      </c>
      <c r="P100" s="4">
        <v>0.0</v>
      </c>
      <c r="Q100" s="5"/>
      <c r="R100" s="4">
        <v>234656.0</v>
      </c>
      <c r="S100" s="4">
        <v>396987.52</v>
      </c>
      <c r="T100" s="4">
        <v>140748.52</v>
      </c>
      <c r="U100" s="5" t="s">
        <v>471</v>
      </c>
      <c r="V100" s="5" t="s">
        <v>36</v>
      </c>
      <c r="W100" s="4">
        <v>0.0</v>
      </c>
      <c r="X100" s="4">
        <v>0.0</v>
      </c>
      <c r="Y100" s="4">
        <v>2.0</v>
      </c>
      <c r="Z100" s="4">
        <v>2.0</v>
      </c>
      <c r="AA100" s="4">
        <v>24.0</v>
      </c>
      <c r="AB100" s="4">
        <v>26.0</v>
      </c>
      <c r="AC100" s="5" t="s">
        <v>149</v>
      </c>
      <c r="AD100" s="5"/>
      <c r="AE100" s="7" t="s">
        <v>50</v>
      </c>
    </row>
    <row r="101">
      <c r="A101" s="4">
        <v>-8568824.1625</v>
      </c>
      <c r="B101" s="4">
        <v>4711552.7513</v>
      </c>
      <c r="C101" s="4">
        <v>361919.0</v>
      </c>
      <c r="D101" s="5" t="s">
        <v>56</v>
      </c>
      <c r="E101" s="5" t="s">
        <v>472</v>
      </c>
      <c r="F101" s="5" t="s">
        <v>473</v>
      </c>
      <c r="G101" s="5" t="s">
        <v>33</v>
      </c>
      <c r="H101" s="5" t="s">
        <v>34</v>
      </c>
      <c r="I101" s="4">
        <v>5.0</v>
      </c>
      <c r="J101" s="4">
        <v>38.9293249</v>
      </c>
      <c r="K101" s="4">
        <v>-76.97497111</v>
      </c>
      <c r="L101" s="4">
        <v>0.0</v>
      </c>
      <c r="M101" s="4">
        <v>0.0</v>
      </c>
      <c r="N101" s="4">
        <v>0.0</v>
      </c>
      <c r="O101" s="4">
        <v>5.0</v>
      </c>
      <c r="P101" s="4">
        <v>0.0</v>
      </c>
      <c r="Q101" s="5"/>
      <c r="R101" s="4">
        <v>52427.0</v>
      </c>
      <c r="S101" s="4">
        <v>402162.95</v>
      </c>
      <c r="T101" s="4">
        <v>140159.83</v>
      </c>
      <c r="U101" s="5" t="s">
        <v>474</v>
      </c>
      <c r="V101" s="5" t="s">
        <v>36</v>
      </c>
      <c r="W101" s="4">
        <v>0.0</v>
      </c>
      <c r="X101" s="4">
        <v>0.0</v>
      </c>
      <c r="Y101" s="4">
        <v>5.0</v>
      </c>
      <c r="Z101" s="4">
        <v>5.0</v>
      </c>
      <c r="AA101" s="4">
        <v>43.0</v>
      </c>
      <c r="AB101" s="4">
        <v>48.0</v>
      </c>
      <c r="AC101" s="5" t="s">
        <v>475</v>
      </c>
      <c r="AD101" s="5"/>
      <c r="AE101" s="7" t="s">
        <v>50</v>
      </c>
    </row>
    <row r="102">
      <c r="A102" s="4">
        <v>-8573900.7983</v>
      </c>
      <c r="B102" s="4">
        <v>4709543.4479</v>
      </c>
      <c r="C102" s="4">
        <v>361920.0</v>
      </c>
      <c r="D102" s="5" t="s">
        <v>39</v>
      </c>
      <c r="E102" s="5" t="s">
        <v>476</v>
      </c>
      <c r="F102" s="5" t="s">
        <v>477</v>
      </c>
      <c r="G102" s="5" t="s">
        <v>33</v>
      </c>
      <c r="H102" s="5" t="s">
        <v>34</v>
      </c>
      <c r="I102" s="4">
        <v>5.0</v>
      </c>
      <c r="J102" s="4">
        <v>38.91527244</v>
      </c>
      <c r="K102" s="4">
        <v>-77.02065903</v>
      </c>
      <c r="L102" s="4">
        <v>0.0</v>
      </c>
      <c r="M102" s="4">
        <v>0.0</v>
      </c>
      <c r="N102" s="4">
        <v>5.0</v>
      </c>
      <c r="O102" s="4">
        <v>0.0</v>
      </c>
      <c r="P102" s="4">
        <v>0.0</v>
      </c>
      <c r="Q102" s="5"/>
      <c r="R102" s="4">
        <v>238431.0</v>
      </c>
      <c r="S102" s="4">
        <v>398208.34</v>
      </c>
      <c r="T102" s="4">
        <v>138600.87</v>
      </c>
      <c r="U102" s="5" t="s">
        <v>478</v>
      </c>
      <c r="V102" s="5" t="s">
        <v>36</v>
      </c>
      <c r="W102" s="4">
        <v>0.0</v>
      </c>
      <c r="X102" s="4">
        <v>0.0</v>
      </c>
      <c r="Y102" s="4">
        <v>5.0</v>
      </c>
      <c r="Z102" s="4">
        <v>5.0</v>
      </c>
      <c r="AA102" s="4">
        <v>64.0</v>
      </c>
      <c r="AB102" s="4">
        <v>69.0</v>
      </c>
      <c r="AC102" s="5" t="s">
        <v>479</v>
      </c>
      <c r="AD102" s="5"/>
      <c r="AE102" s="7" t="s">
        <v>50</v>
      </c>
    </row>
    <row r="103">
      <c r="A103" s="4">
        <v>-8574182.1659</v>
      </c>
      <c r="B103" s="4">
        <v>4715450.7424</v>
      </c>
      <c r="C103" s="4">
        <v>361921.0</v>
      </c>
      <c r="D103" s="5" t="s">
        <v>51</v>
      </c>
      <c r="E103" s="5" t="s">
        <v>480</v>
      </c>
      <c r="F103" s="5" t="s">
        <v>481</v>
      </c>
      <c r="G103" s="5" t="s">
        <v>33</v>
      </c>
      <c r="H103" s="5" t="s">
        <v>34</v>
      </c>
      <c r="I103" s="4">
        <v>1.0</v>
      </c>
      <c r="J103" s="4">
        <v>38.95655022</v>
      </c>
      <c r="K103" s="4">
        <v>-77.02318659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5"/>
      <c r="R103" s="4">
        <v>250280.0</v>
      </c>
      <c r="S103" s="4">
        <v>397990.3</v>
      </c>
      <c r="T103" s="4">
        <v>143183.08</v>
      </c>
      <c r="U103" s="5" t="s">
        <v>482</v>
      </c>
      <c r="V103" s="5" t="s">
        <v>36</v>
      </c>
      <c r="W103" s="4">
        <v>0.0</v>
      </c>
      <c r="X103" s="4">
        <v>0.0</v>
      </c>
      <c r="Y103" s="4">
        <v>1.0</v>
      </c>
      <c r="Z103" s="4">
        <v>1.0</v>
      </c>
      <c r="AA103" s="4">
        <v>9.0</v>
      </c>
      <c r="AB103" s="4">
        <v>10.0</v>
      </c>
      <c r="AC103" s="5" t="s">
        <v>483</v>
      </c>
      <c r="AD103" s="5"/>
      <c r="AE103" s="7" t="s">
        <v>38</v>
      </c>
    </row>
    <row r="104">
      <c r="A104" s="4">
        <v>-8570218.0278</v>
      </c>
      <c r="B104" s="4">
        <v>4710892.8453</v>
      </c>
      <c r="C104" s="4">
        <v>361923.0</v>
      </c>
      <c r="D104" s="5" t="s">
        <v>56</v>
      </c>
      <c r="E104" s="5" t="s">
        <v>484</v>
      </c>
      <c r="F104" s="5" t="s">
        <v>485</v>
      </c>
      <c r="G104" s="5" t="s">
        <v>310</v>
      </c>
      <c r="H104" s="5" t="s">
        <v>34</v>
      </c>
      <c r="I104" s="4">
        <v>4.0</v>
      </c>
      <c r="J104" s="4">
        <v>38.92470386</v>
      </c>
      <c r="K104" s="4">
        <v>-76.98757614</v>
      </c>
      <c r="L104" s="4">
        <v>0.0</v>
      </c>
      <c r="M104" s="4">
        <v>0.0</v>
      </c>
      <c r="N104" s="4">
        <v>4.0</v>
      </c>
      <c r="O104" s="4">
        <v>0.0</v>
      </c>
      <c r="P104" s="4">
        <v>0.0</v>
      </c>
      <c r="Q104" s="5"/>
      <c r="R104" s="4">
        <v>305797.0</v>
      </c>
      <c r="S104" s="4">
        <v>401077.32</v>
      </c>
      <c r="T104" s="4">
        <v>139647.67</v>
      </c>
      <c r="U104" s="5" t="s">
        <v>486</v>
      </c>
      <c r="V104" s="5" t="s">
        <v>36</v>
      </c>
      <c r="W104" s="4">
        <v>0.0</v>
      </c>
      <c r="X104" s="4">
        <v>0.0</v>
      </c>
      <c r="Y104" s="4">
        <v>4.0</v>
      </c>
      <c r="Z104" s="4">
        <v>4.0</v>
      </c>
      <c r="AA104" s="4">
        <v>56.0</v>
      </c>
      <c r="AB104" s="4">
        <v>60.0</v>
      </c>
      <c r="AC104" s="5"/>
      <c r="AD104" s="5"/>
      <c r="AE104" s="7" t="s">
        <v>312</v>
      </c>
    </row>
    <row r="105">
      <c r="A105" s="4">
        <v>-8575216.7797</v>
      </c>
      <c r="B105" s="4">
        <v>4710075.0008</v>
      </c>
      <c r="C105" s="4">
        <v>361924.0</v>
      </c>
      <c r="D105" s="5" t="s">
        <v>114</v>
      </c>
      <c r="E105" s="5" t="s">
        <v>487</v>
      </c>
      <c r="F105" s="5" t="s">
        <v>488</v>
      </c>
      <c r="G105" s="5" t="s">
        <v>33</v>
      </c>
      <c r="H105" s="5" t="s">
        <v>34</v>
      </c>
      <c r="I105" s="4">
        <v>20.0</v>
      </c>
      <c r="J105" s="4">
        <v>38.91898801</v>
      </c>
      <c r="K105" s="4">
        <v>-77.03248068</v>
      </c>
      <c r="L105" s="4">
        <v>0.0</v>
      </c>
      <c r="M105" s="4">
        <v>0.0</v>
      </c>
      <c r="N105" s="4">
        <v>20.0</v>
      </c>
      <c r="O105" s="4">
        <v>0.0</v>
      </c>
      <c r="P105" s="4">
        <v>0.0</v>
      </c>
      <c r="Q105" s="5"/>
      <c r="R105" s="4">
        <v>242884.0</v>
      </c>
      <c r="S105" s="4">
        <v>397183.25</v>
      </c>
      <c r="T105" s="4">
        <v>139013.59</v>
      </c>
      <c r="U105" s="5" t="s">
        <v>489</v>
      </c>
      <c r="V105" s="5" t="s">
        <v>36</v>
      </c>
      <c r="W105" s="4">
        <v>0.0</v>
      </c>
      <c r="X105" s="4">
        <v>0.0</v>
      </c>
      <c r="Y105" s="4">
        <v>20.0</v>
      </c>
      <c r="Z105" s="4">
        <v>20.0</v>
      </c>
      <c r="AA105" s="4">
        <v>215.0</v>
      </c>
      <c r="AB105" s="4">
        <v>235.0</v>
      </c>
      <c r="AC105" s="5" t="s">
        <v>95</v>
      </c>
      <c r="AD105" s="5"/>
      <c r="AE105" s="7" t="s">
        <v>38</v>
      </c>
    </row>
    <row r="106">
      <c r="A106" s="4">
        <v>-8571779.654</v>
      </c>
      <c r="B106" s="4">
        <v>4696241.4431</v>
      </c>
      <c r="C106" s="4">
        <v>361925.0</v>
      </c>
      <c r="D106" s="5" t="s">
        <v>45</v>
      </c>
      <c r="E106" s="5" t="s">
        <v>490</v>
      </c>
      <c r="F106" s="5" t="s">
        <v>491</v>
      </c>
      <c r="G106" s="5" t="s">
        <v>33</v>
      </c>
      <c r="H106" s="5" t="s">
        <v>81</v>
      </c>
      <c r="I106" s="4">
        <v>152.0</v>
      </c>
      <c r="J106" s="4">
        <v>38.82216136</v>
      </c>
      <c r="K106" s="4">
        <v>-77.00165767</v>
      </c>
      <c r="L106" s="4">
        <v>0.0</v>
      </c>
      <c r="M106" s="4">
        <v>0.0</v>
      </c>
      <c r="N106" s="4">
        <v>152.0</v>
      </c>
      <c r="O106" s="4">
        <v>0.0</v>
      </c>
      <c r="P106" s="4">
        <v>0.0</v>
      </c>
      <c r="Q106" s="5"/>
      <c r="R106" s="4">
        <v>306051.0</v>
      </c>
      <c r="S106" s="4">
        <v>399860.67</v>
      </c>
      <c r="T106" s="4">
        <v>128272.96</v>
      </c>
      <c r="U106" s="5" t="s">
        <v>492</v>
      </c>
      <c r="V106" s="5" t="s">
        <v>36</v>
      </c>
      <c r="W106" s="4">
        <v>0.0</v>
      </c>
      <c r="X106" s="4">
        <v>0.0</v>
      </c>
      <c r="Y106" s="4">
        <v>152.0</v>
      </c>
      <c r="Z106" s="4">
        <v>152.0</v>
      </c>
      <c r="AA106" s="4">
        <v>0.0</v>
      </c>
      <c r="AB106" s="4">
        <v>152.0</v>
      </c>
      <c r="AC106" s="5" t="s">
        <v>493</v>
      </c>
      <c r="AD106" s="5"/>
      <c r="AE106" s="7" t="s">
        <v>38</v>
      </c>
    </row>
    <row r="107">
      <c r="A107" s="4">
        <v>-8574500.5314</v>
      </c>
      <c r="B107" s="4">
        <v>4713255.9987</v>
      </c>
      <c r="C107" s="4">
        <v>361926.0</v>
      </c>
      <c r="D107" s="5" t="s">
        <v>51</v>
      </c>
      <c r="E107" s="5" t="s">
        <v>494</v>
      </c>
      <c r="F107" s="5" t="s">
        <v>495</v>
      </c>
      <c r="G107" s="5" t="s">
        <v>33</v>
      </c>
      <c r="H107" s="5" t="s">
        <v>496</v>
      </c>
      <c r="I107" s="4">
        <v>40.0</v>
      </c>
      <c r="J107" s="4">
        <v>38.94116032</v>
      </c>
      <c r="K107" s="4">
        <v>-77.02606714</v>
      </c>
      <c r="L107" s="4">
        <v>0.0</v>
      </c>
      <c r="M107" s="4">
        <v>0.0</v>
      </c>
      <c r="N107" s="4">
        <v>0.0</v>
      </c>
      <c r="O107" s="4">
        <v>40.0</v>
      </c>
      <c r="P107" s="4">
        <v>0.0</v>
      </c>
      <c r="Q107" s="5"/>
      <c r="R107" s="4">
        <v>223660.0</v>
      </c>
      <c r="S107" s="4">
        <v>397741.93</v>
      </c>
      <c r="T107" s="4">
        <v>141481.04</v>
      </c>
      <c r="U107" s="5" t="s">
        <v>497</v>
      </c>
      <c r="V107" s="5" t="s">
        <v>36</v>
      </c>
      <c r="W107" s="4">
        <v>0.0</v>
      </c>
      <c r="X107" s="4">
        <v>0.0</v>
      </c>
      <c r="Y107" s="4">
        <v>40.0</v>
      </c>
      <c r="Z107" s="4">
        <v>40.0</v>
      </c>
      <c r="AA107" s="4">
        <v>0.0</v>
      </c>
      <c r="AB107" s="4">
        <v>40.0</v>
      </c>
      <c r="AC107" s="5" t="s">
        <v>498</v>
      </c>
      <c r="AD107" s="5"/>
      <c r="AE107" s="7" t="s">
        <v>38</v>
      </c>
    </row>
    <row r="108">
      <c r="A108" s="4">
        <v>-8571749.6586</v>
      </c>
      <c r="B108" s="4">
        <v>4715657.5578</v>
      </c>
      <c r="C108" s="4">
        <v>361927.0</v>
      </c>
      <c r="D108" s="5" t="s">
        <v>51</v>
      </c>
      <c r="E108" s="5" t="s">
        <v>499</v>
      </c>
      <c r="F108" s="5" t="s">
        <v>500</v>
      </c>
      <c r="G108" s="5" t="s">
        <v>33</v>
      </c>
      <c r="H108" s="5" t="s">
        <v>501</v>
      </c>
      <c r="I108" s="4">
        <v>5.0</v>
      </c>
      <c r="J108" s="4">
        <v>38.95799458</v>
      </c>
      <c r="K108" s="4">
        <v>-77.00133501</v>
      </c>
      <c r="L108" s="4">
        <v>0.0</v>
      </c>
      <c r="M108" s="4">
        <v>3.0</v>
      </c>
      <c r="N108" s="4">
        <v>0.0</v>
      </c>
      <c r="O108" s="4">
        <v>2.0</v>
      </c>
      <c r="P108" s="4">
        <v>0.0</v>
      </c>
      <c r="Q108" s="5"/>
      <c r="R108" s="4">
        <v>331212.0</v>
      </c>
      <c r="S108" s="4">
        <v>399884.29</v>
      </c>
      <c r="T108" s="4">
        <v>143343.2</v>
      </c>
      <c r="U108" s="5" t="s">
        <v>502</v>
      </c>
      <c r="V108" s="5" t="s">
        <v>36</v>
      </c>
      <c r="W108" s="4">
        <v>0.0</v>
      </c>
      <c r="X108" s="4">
        <v>0.0</v>
      </c>
      <c r="Y108" s="4">
        <v>5.0</v>
      </c>
      <c r="Z108" s="4">
        <v>5.0</v>
      </c>
      <c r="AA108" s="4">
        <v>85.0</v>
      </c>
      <c r="AB108" s="4">
        <v>90.0</v>
      </c>
      <c r="AC108" s="5" t="s">
        <v>503</v>
      </c>
      <c r="AD108" s="5"/>
      <c r="AE108" s="7" t="s">
        <v>38</v>
      </c>
    </row>
    <row r="109">
      <c r="A109" s="4">
        <v>-8571700.3301</v>
      </c>
      <c r="B109" s="4">
        <v>4710769.6219</v>
      </c>
      <c r="C109" s="4">
        <v>361929.0</v>
      </c>
      <c r="D109" s="5" t="s">
        <v>56</v>
      </c>
      <c r="E109" s="5" t="s">
        <v>504</v>
      </c>
      <c r="F109" s="5" t="s">
        <v>505</v>
      </c>
      <c r="G109" s="5" t="s">
        <v>33</v>
      </c>
      <c r="H109" s="5" t="s">
        <v>34</v>
      </c>
      <c r="I109" s="4">
        <v>1.0</v>
      </c>
      <c r="J109" s="4">
        <v>38.92384118</v>
      </c>
      <c r="K109" s="4">
        <v>-77.00088082</v>
      </c>
      <c r="L109" s="4">
        <v>0.0</v>
      </c>
      <c r="M109" s="4">
        <v>0.0</v>
      </c>
      <c r="N109" s="4">
        <v>0.0</v>
      </c>
      <c r="O109" s="4">
        <v>1.0</v>
      </c>
      <c r="P109" s="4">
        <v>0.0</v>
      </c>
      <c r="Q109" s="5"/>
      <c r="R109" s="4">
        <v>319485.0</v>
      </c>
      <c r="S109" s="4">
        <v>399922.66</v>
      </c>
      <c r="T109" s="4">
        <v>139552.0</v>
      </c>
      <c r="U109" s="5" t="s">
        <v>506</v>
      </c>
      <c r="V109" s="5" t="s">
        <v>36</v>
      </c>
      <c r="W109" s="4">
        <v>0.0</v>
      </c>
      <c r="X109" s="4">
        <v>0.0</v>
      </c>
      <c r="Y109" s="4">
        <v>1.0</v>
      </c>
      <c r="Z109" s="4">
        <v>1.0</v>
      </c>
      <c r="AA109" s="4">
        <v>1.0</v>
      </c>
      <c r="AB109" s="4">
        <v>2.0</v>
      </c>
      <c r="AC109" s="5" t="s">
        <v>507</v>
      </c>
      <c r="AD109" s="5"/>
      <c r="AE109" s="7" t="s">
        <v>38</v>
      </c>
    </row>
    <row r="110">
      <c r="A110" s="4">
        <v>-8574588.0623</v>
      </c>
      <c r="B110" s="4">
        <v>4715438.238</v>
      </c>
      <c r="C110" s="4">
        <v>361930.0</v>
      </c>
      <c r="D110" s="5" t="s">
        <v>51</v>
      </c>
      <c r="E110" s="5" t="s">
        <v>508</v>
      </c>
      <c r="F110" s="5" t="s">
        <v>509</v>
      </c>
      <c r="G110" s="5" t="s">
        <v>33</v>
      </c>
      <c r="H110" s="5" t="s">
        <v>34</v>
      </c>
      <c r="I110" s="4">
        <v>2.0</v>
      </c>
      <c r="J110" s="4">
        <v>38.95646254</v>
      </c>
      <c r="K110" s="4">
        <v>-77.02683282</v>
      </c>
      <c r="L110" s="4">
        <v>0.0</v>
      </c>
      <c r="M110" s="4">
        <v>1.0</v>
      </c>
      <c r="N110" s="4">
        <v>0.0</v>
      </c>
      <c r="O110" s="4">
        <v>1.0</v>
      </c>
      <c r="P110" s="4">
        <v>0.0</v>
      </c>
      <c r="Q110" s="5"/>
      <c r="R110" s="4">
        <v>254531.0</v>
      </c>
      <c r="S110" s="4">
        <v>397674.26</v>
      </c>
      <c r="T110" s="4">
        <v>143173.47</v>
      </c>
      <c r="U110" s="5" t="s">
        <v>510</v>
      </c>
      <c r="V110" s="5" t="s">
        <v>36</v>
      </c>
      <c r="W110" s="4">
        <v>0.0</v>
      </c>
      <c r="X110" s="4">
        <v>0.0</v>
      </c>
      <c r="Y110" s="4">
        <v>2.0</v>
      </c>
      <c r="Z110" s="4">
        <v>2.0</v>
      </c>
      <c r="AA110" s="4">
        <v>10.0</v>
      </c>
      <c r="AB110" s="4">
        <v>12.0</v>
      </c>
      <c r="AC110" s="5" t="s">
        <v>511</v>
      </c>
      <c r="AD110" s="5"/>
      <c r="AE110" s="7" t="s">
        <v>38</v>
      </c>
    </row>
    <row r="111">
      <c r="A111" s="4">
        <v>-8574137.5953</v>
      </c>
      <c r="B111" s="4">
        <v>4711301.6792</v>
      </c>
      <c r="C111" s="4">
        <v>361931.0</v>
      </c>
      <c r="D111" s="5" t="s">
        <v>114</v>
      </c>
      <c r="E111" s="5" t="s">
        <v>512</v>
      </c>
      <c r="F111" s="5" t="s">
        <v>513</v>
      </c>
      <c r="G111" s="5" t="s">
        <v>33</v>
      </c>
      <c r="H111" s="5" t="s">
        <v>34</v>
      </c>
      <c r="I111" s="4">
        <v>2.0</v>
      </c>
      <c r="J111" s="4">
        <v>38.92751398</v>
      </c>
      <c r="K111" s="4">
        <v>-77.02275494</v>
      </c>
      <c r="L111" s="4">
        <v>0.0</v>
      </c>
      <c r="M111" s="4">
        <v>1.0</v>
      </c>
      <c r="N111" s="4">
        <v>0.0</v>
      </c>
      <c r="O111" s="4">
        <v>1.0</v>
      </c>
      <c r="P111" s="4">
        <v>0.0</v>
      </c>
      <c r="Q111" s="5"/>
      <c r="R111" s="4">
        <v>237945.0</v>
      </c>
      <c r="S111" s="4">
        <v>398024.2</v>
      </c>
      <c r="T111" s="4">
        <v>139965.01</v>
      </c>
      <c r="U111" s="5" t="s">
        <v>514</v>
      </c>
      <c r="V111" s="5" t="s">
        <v>36</v>
      </c>
      <c r="W111" s="4">
        <v>0.0</v>
      </c>
      <c r="X111" s="4">
        <v>0.0</v>
      </c>
      <c r="Y111" s="4">
        <v>2.0</v>
      </c>
      <c r="Z111" s="4">
        <v>2.0</v>
      </c>
      <c r="AA111" s="4">
        <v>16.0</v>
      </c>
      <c r="AB111" s="4">
        <v>18.0</v>
      </c>
      <c r="AC111" s="5" t="s">
        <v>179</v>
      </c>
      <c r="AD111" s="5"/>
      <c r="AE111" s="7" t="s">
        <v>38</v>
      </c>
    </row>
    <row r="112">
      <c r="A112" s="4">
        <v>-8564473.6084</v>
      </c>
      <c r="B112" s="4">
        <v>4708910.6745</v>
      </c>
      <c r="C112" s="4">
        <v>361932.0</v>
      </c>
      <c r="D112" s="5" t="s">
        <v>30</v>
      </c>
      <c r="E112" s="5" t="s">
        <v>515</v>
      </c>
      <c r="F112" s="5" t="s">
        <v>516</v>
      </c>
      <c r="G112" s="5" t="s">
        <v>33</v>
      </c>
      <c r="H112" s="5" t="s">
        <v>258</v>
      </c>
      <c r="I112" s="4">
        <v>166.0</v>
      </c>
      <c r="J112" s="4">
        <v>38.91037803</v>
      </c>
      <c r="K112" s="4">
        <v>-76.93642717</v>
      </c>
      <c r="L112" s="4">
        <v>40.0</v>
      </c>
      <c r="M112" s="4">
        <v>126.0</v>
      </c>
      <c r="N112" s="4">
        <v>0.0</v>
      </c>
      <c r="O112" s="4">
        <v>0.0</v>
      </c>
      <c r="P112" s="4">
        <v>0.0</v>
      </c>
      <c r="Q112" s="5"/>
      <c r="R112" s="4">
        <v>290477.0</v>
      </c>
      <c r="S112" s="4">
        <v>405553.09</v>
      </c>
      <c r="T112" s="4">
        <v>138111.63</v>
      </c>
      <c r="U112" s="5" t="s">
        <v>517</v>
      </c>
      <c r="V112" s="5" t="s">
        <v>36</v>
      </c>
      <c r="W112" s="4">
        <v>89.0</v>
      </c>
      <c r="X112" s="4">
        <v>0.0</v>
      </c>
      <c r="Y112" s="4">
        <v>77.0</v>
      </c>
      <c r="Z112" s="4">
        <v>77.0</v>
      </c>
      <c r="AA112" s="4">
        <v>0.0</v>
      </c>
      <c r="AB112" s="4">
        <v>166.0</v>
      </c>
      <c r="AC112" s="5" t="s">
        <v>518</v>
      </c>
      <c r="AD112" s="5"/>
      <c r="AE112" s="7" t="s">
        <v>50</v>
      </c>
    </row>
    <row r="113">
      <c r="A113" s="4">
        <v>-8574187.2809</v>
      </c>
      <c r="B113" s="4">
        <v>4708424.4044</v>
      </c>
      <c r="C113" s="4">
        <v>361934.0</v>
      </c>
      <c r="D113" s="5" t="s">
        <v>39</v>
      </c>
      <c r="E113" s="5" t="s">
        <v>519</v>
      </c>
      <c r="F113" s="5" t="s">
        <v>520</v>
      </c>
      <c r="G113" s="5" t="s">
        <v>33</v>
      </c>
      <c r="H113" s="5" t="s">
        <v>34</v>
      </c>
      <c r="I113" s="4">
        <v>2.0</v>
      </c>
      <c r="J113" s="4">
        <v>38.90745038</v>
      </c>
      <c r="K113" s="4">
        <v>-77.02323254</v>
      </c>
      <c r="L113" s="4">
        <v>0.0</v>
      </c>
      <c r="M113" s="4">
        <v>1.0</v>
      </c>
      <c r="N113" s="4">
        <v>1.0</v>
      </c>
      <c r="O113" s="4">
        <v>0.0</v>
      </c>
      <c r="P113" s="4">
        <v>0.0</v>
      </c>
      <c r="Q113" s="5"/>
      <c r="R113" s="4">
        <v>279945.0</v>
      </c>
      <c r="S113" s="4">
        <v>397984.93</v>
      </c>
      <c r="T113" s="4">
        <v>137732.61</v>
      </c>
      <c r="U113" s="5" t="s">
        <v>521</v>
      </c>
      <c r="V113" s="5" t="s">
        <v>36</v>
      </c>
      <c r="W113" s="4">
        <v>0.0</v>
      </c>
      <c r="X113" s="4">
        <v>0.0</v>
      </c>
      <c r="Y113" s="4">
        <v>2.0</v>
      </c>
      <c r="Z113" s="4">
        <v>2.0</v>
      </c>
      <c r="AA113" s="4">
        <v>26.0</v>
      </c>
      <c r="AB113" s="4">
        <v>28.0</v>
      </c>
      <c r="AC113" s="5" t="s">
        <v>457</v>
      </c>
      <c r="AD113" s="5"/>
      <c r="AE113" s="7" t="s">
        <v>50</v>
      </c>
    </row>
    <row r="114">
      <c r="A114" s="4">
        <v>-8572916.9537</v>
      </c>
      <c r="B114" s="4">
        <v>4702281.1844</v>
      </c>
      <c r="C114" s="4">
        <v>361935.0</v>
      </c>
      <c r="D114" s="5" t="s">
        <v>39</v>
      </c>
      <c r="E114" s="5" t="s">
        <v>522</v>
      </c>
      <c r="F114" s="5" t="s">
        <v>523</v>
      </c>
      <c r="G114" s="5" t="s">
        <v>33</v>
      </c>
      <c r="H114" s="5" t="s">
        <v>34</v>
      </c>
      <c r="I114" s="4">
        <v>8.0</v>
      </c>
      <c r="J114" s="4">
        <v>38.86449418</v>
      </c>
      <c r="K114" s="4">
        <v>-77.011821</v>
      </c>
      <c r="L114" s="4">
        <v>0.0</v>
      </c>
      <c r="M114" s="4">
        <v>0.0</v>
      </c>
      <c r="N114" s="4">
        <v>0.0</v>
      </c>
      <c r="O114" s="4">
        <v>8.0</v>
      </c>
      <c r="P114" s="4">
        <v>0.0</v>
      </c>
      <c r="Q114" s="5"/>
      <c r="R114" s="4">
        <v>314966.0</v>
      </c>
      <c r="S114" s="4">
        <v>398974.09</v>
      </c>
      <c r="T114" s="4">
        <v>132963.95</v>
      </c>
      <c r="U114" s="5" t="s">
        <v>524</v>
      </c>
      <c r="V114" s="5" t="s">
        <v>36</v>
      </c>
      <c r="W114" s="4">
        <v>0.0</v>
      </c>
      <c r="X114" s="4">
        <v>0.0</v>
      </c>
      <c r="Y114" s="4">
        <v>8.0</v>
      </c>
      <c r="Z114" s="4">
        <v>8.0</v>
      </c>
      <c r="AA114" s="4">
        <v>99.0</v>
      </c>
      <c r="AB114" s="4">
        <v>107.0</v>
      </c>
      <c r="AC114" s="5" t="s">
        <v>525</v>
      </c>
      <c r="AD114" s="5"/>
      <c r="AE114" s="7" t="s">
        <v>50</v>
      </c>
    </row>
    <row r="115">
      <c r="A115" s="4">
        <v>-8568241.6835</v>
      </c>
      <c r="B115" s="4">
        <v>4703094.7203</v>
      </c>
      <c r="C115" s="4">
        <v>361936.0</v>
      </c>
      <c r="D115" s="5" t="s">
        <v>30</v>
      </c>
      <c r="E115" s="5" t="s">
        <v>526</v>
      </c>
      <c r="F115" s="5" t="s">
        <v>527</v>
      </c>
      <c r="G115" s="5" t="s">
        <v>33</v>
      </c>
      <c r="H115" s="5" t="s">
        <v>34</v>
      </c>
      <c r="I115" s="4">
        <v>2.0</v>
      </c>
      <c r="J115" s="4">
        <v>38.87018429</v>
      </c>
      <c r="K115" s="4">
        <v>-76.96982235</v>
      </c>
      <c r="L115" s="4">
        <v>0.0</v>
      </c>
      <c r="M115" s="4">
        <v>1.0</v>
      </c>
      <c r="N115" s="4">
        <v>0.0</v>
      </c>
      <c r="O115" s="4">
        <v>1.0</v>
      </c>
      <c r="P115" s="4">
        <v>0.0</v>
      </c>
      <c r="Q115" s="5"/>
      <c r="R115" s="4">
        <v>313248.0</v>
      </c>
      <c r="S115" s="4">
        <v>402618.82</v>
      </c>
      <c r="T115" s="4">
        <v>133595.96</v>
      </c>
      <c r="U115" s="5" t="s">
        <v>528</v>
      </c>
      <c r="V115" s="5" t="s">
        <v>36</v>
      </c>
      <c r="W115" s="4">
        <v>0.0</v>
      </c>
      <c r="X115" s="4">
        <v>0.0</v>
      </c>
      <c r="Y115" s="4">
        <v>2.0</v>
      </c>
      <c r="Z115" s="4">
        <v>2.0</v>
      </c>
      <c r="AA115" s="4">
        <v>14.0</v>
      </c>
      <c r="AB115" s="4">
        <v>16.0</v>
      </c>
      <c r="AC115" s="5" t="s">
        <v>529</v>
      </c>
      <c r="AD115" s="5"/>
      <c r="AE115" s="7" t="s">
        <v>50</v>
      </c>
    </row>
    <row r="116">
      <c r="A116" s="4">
        <v>-8570575.2433</v>
      </c>
      <c r="B116" s="4">
        <v>4711177.1407</v>
      </c>
      <c r="C116" s="4">
        <v>361938.0</v>
      </c>
      <c r="D116" s="5" t="s">
        <v>56</v>
      </c>
      <c r="E116" s="5" t="s">
        <v>530</v>
      </c>
      <c r="F116" s="5" t="s">
        <v>531</v>
      </c>
      <c r="G116" s="5" t="s">
        <v>33</v>
      </c>
      <c r="H116" s="5" t="s">
        <v>34</v>
      </c>
      <c r="I116" s="4">
        <v>1.0</v>
      </c>
      <c r="J116" s="4">
        <v>38.92670475</v>
      </c>
      <c r="K116" s="4">
        <v>-76.99080271</v>
      </c>
      <c r="L116" s="4">
        <v>0.0</v>
      </c>
      <c r="M116" s="4">
        <v>1.0</v>
      </c>
      <c r="N116" s="4">
        <v>0.0</v>
      </c>
      <c r="O116" s="4">
        <v>0.0</v>
      </c>
      <c r="P116" s="4">
        <v>0.0</v>
      </c>
      <c r="Q116" s="5"/>
      <c r="R116" s="4">
        <v>43833.0</v>
      </c>
      <c r="S116" s="4">
        <v>400799.04</v>
      </c>
      <c r="T116" s="4">
        <v>139868.19</v>
      </c>
      <c r="U116" s="5" t="s">
        <v>532</v>
      </c>
      <c r="V116" s="5" t="s">
        <v>36</v>
      </c>
      <c r="W116" s="4">
        <v>0.0</v>
      </c>
      <c r="X116" s="4">
        <v>0.0</v>
      </c>
      <c r="Y116" s="4">
        <v>1.0</v>
      </c>
      <c r="Z116" s="4">
        <v>1.0</v>
      </c>
      <c r="AA116" s="4">
        <v>12.0</v>
      </c>
      <c r="AB116" s="4">
        <v>13.0</v>
      </c>
      <c r="AC116" s="5" t="s">
        <v>533</v>
      </c>
      <c r="AD116" s="5"/>
      <c r="AE116" s="7" t="s">
        <v>50</v>
      </c>
    </row>
    <row r="117">
      <c r="A117" s="4">
        <v>-8576107.2498</v>
      </c>
      <c r="B117" s="4">
        <v>4710304.7261</v>
      </c>
      <c r="C117" s="4">
        <v>361939.0</v>
      </c>
      <c r="D117" s="5" t="s">
        <v>114</v>
      </c>
      <c r="E117" s="5" t="s">
        <v>534</v>
      </c>
      <c r="F117" s="5" t="s">
        <v>535</v>
      </c>
      <c r="G117" s="5" t="s">
        <v>33</v>
      </c>
      <c r="H117" s="5" t="s">
        <v>34</v>
      </c>
      <c r="I117" s="4">
        <v>4.0</v>
      </c>
      <c r="J117" s="4">
        <v>38.92059325</v>
      </c>
      <c r="K117" s="4">
        <v>-77.04047991</v>
      </c>
      <c r="L117" s="4">
        <v>0.0</v>
      </c>
      <c r="M117" s="4">
        <v>0.0</v>
      </c>
      <c r="N117" s="4">
        <v>0.0</v>
      </c>
      <c r="O117" s="4">
        <v>4.0</v>
      </c>
      <c r="P117" s="4">
        <v>0.0</v>
      </c>
      <c r="Q117" s="5"/>
      <c r="R117" s="4">
        <v>284081.0</v>
      </c>
      <c r="S117" s="4">
        <v>396489.63</v>
      </c>
      <c r="T117" s="4">
        <v>139192.1</v>
      </c>
      <c r="U117" s="5" t="s">
        <v>536</v>
      </c>
      <c r="V117" s="5" t="s">
        <v>36</v>
      </c>
      <c r="W117" s="4">
        <v>0.0</v>
      </c>
      <c r="X117" s="4">
        <v>0.0</v>
      </c>
      <c r="Y117" s="4">
        <v>4.0</v>
      </c>
      <c r="Z117" s="4">
        <v>4.0</v>
      </c>
      <c r="AA117" s="4">
        <v>24.0</v>
      </c>
      <c r="AB117" s="4">
        <v>28.0</v>
      </c>
      <c r="AC117" s="5" t="s">
        <v>537</v>
      </c>
      <c r="AD117" s="5"/>
      <c r="AE117" s="7" t="s">
        <v>50</v>
      </c>
    </row>
    <row r="118">
      <c r="A118" s="4">
        <v>-8575129.8513</v>
      </c>
      <c r="B118" s="4">
        <v>4709186.4307</v>
      </c>
      <c r="C118" s="4">
        <v>361940.0</v>
      </c>
      <c r="D118" s="5" t="s">
        <v>442</v>
      </c>
      <c r="E118" s="5" t="s">
        <v>538</v>
      </c>
      <c r="F118" s="5" t="s">
        <v>539</v>
      </c>
      <c r="G118" s="5" t="s">
        <v>33</v>
      </c>
      <c r="H118" s="5" t="s">
        <v>34</v>
      </c>
      <c r="I118" s="4">
        <v>12.0</v>
      </c>
      <c r="J118" s="4">
        <v>38.91277734</v>
      </c>
      <c r="K118" s="4">
        <v>-77.03169979</v>
      </c>
      <c r="L118" s="4">
        <v>0.0</v>
      </c>
      <c r="M118" s="4">
        <v>1.0</v>
      </c>
      <c r="N118" s="4">
        <v>11.0</v>
      </c>
      <c r="O118" s="4">
        <v>0.0</v>
      </c>
      <c r="P118" s="4">
        <v>0.0</v>
      </c>
      <c r="Q118" s="5"/>
      <c r="R118" s="4">
        <v>238070.0</v>
      </c>
      <c r="S118" s="4">
        <v>397250.73</v>
      </c>
      <c r="T118" s="4">
        <v>138324.13</v>
      </c>
      <c r="U118" s="5" t="s">
        <v>540</v>
      </c>
      <c r="V118" s="5" t="s">
        <v>36</v>
      </c>
      <c r="W118" s="4">
        <v>0.0</v>
      </c>
      <c r="X118" s="4">
        <v>0.0</v>
      </c>
      <c r="Y118" s="4">
        <v>12.0</v>
      </c>
      <c r="Z118" s="4">
        <v>12.0</v>
      </c>
      <c r="AA118" s="4">
        <v>66.0</v>
      </c>
      <c r="AB118" s="4">
        <v>78.0</v>
      </c>
      <c r="AC118" s="5" t="s">
        <v>541</v>
      </c>
      <c r="AD118" s="5"/>
      <c r="AE118" s="7" t="s">
        <v>50</v>
      </c>
    </row>
    <row r="119">
      <c r="A119" s="4">
        <v>-8570812.3294</v>
      </c>
      <c r="B119" s="4">
        <v>4707417.9685</v>
      </c>
      <c r="C119" s="4">
        <v>361941.0</v>
      </c>
      <c r="D119" s="5" t="s">
        <v>39</v>
      </c>
      <c r="E119" s="5" t="s">
        <v>542</v>
      </c>
      <c r="F119" s="5" t="s">
        <v>543</v>
      </c>
      <c r="G119" s="5" t="s">
        <v>33</v>
      </c>
      <c r="H119" s="5" t="s">
        <v>34</v>
      </c>
      <c r="I119" s="4">
        <v>2.0</v>
      </c>
      <c r="J119" s="4">
        <v>38.90043269</v>
      </c>
      <c r="K119" s="4">
        <v>-76.99291461</v>
      </c>
      <c r="L119" s="4">
        <v>0.0</v>
      </c>
      <c r="M119" s="4">
        <v>1.0</v>
      </c>
      <c r="N119" s="4">
        <v>1.0</v>
      </c>
      <c r="O119" s="4">
        <v>0.0</v>
      </c>
      <c r="P119" s="4">
        <v>0.0</v>
      </c>
      <c r="Q119" s="8"/>
      <c r="R119" s="4">
        <v>82520.0</v>
      </c>
      <c r="S119" s="4">
        <v>400614.59</v>
      </c>
      <c r="T119" s="4">
        <v>136951.36</v>
      </c>
      <c r="U119" s="5" t="s">
        <v>544</v>
      </c>
      <c r="V119" s="5" t="s">
        <v>36</v>
      </c>
      <c r="W119" s="4">
        <v>0.0</v>
      </c>
      <c r="X119" s="4">
        <v>0.0</v>
      </c>
      <c r="Y119" s="4">
        <v>2.0</v>
      </c>
      <c r="Z119" s="4">
        <v>2.0</v>
      </c>
      <c r="AA119" s="4">
        <v>8.0</v>
      </c>
      <c r="AB119" s="4">
        <v>10.0</v>
      </c>
      <c r="AC119" s="5" t="s">
        <v>399</v>
      </c>
      <c r="AD119" s="5"/>
      <c r="AE119" s="7" t="s">
        <v>50</v>
      </c>
    </row>
    <row r="120">
      <c r="A120" s="4">
        <v>-8575382.963</v>
      </c>
      <c r="B120" s="4">
        <v>4710251.958</v>
      </c>
      <c r="C120" s="4">
        <v>361943.0</v>
      </c>
      <c r="D120" s="5" t="s">
        <v>114</v>
      </c>
      <c r="E120" s="5" t="s">
        <v>545</v>
      </c>
      <c r="F120" s="5" t="s">
        <v>546</v>
      </c>
      <c r="G120" s="5" t="s">
        <v>33</v>
      </c>
      <c r="H120" s="5" t="s">
        <v>34</v>
      </c>
      <c r="I120" s="4">
        <v>2.0</v>
      </c>
      <c r="J120" s="4">
        <v>38.92027819</v>
      </c>
      <c r="K120" s="4">
        <v>-77.03401565</v>
      </c>
      <c r="L120" s="4">
        <v>0.0</v>
      </c>
      <c r="M120" s="4">
        <v>0.0</v>
      </c>
      <c r="N120" s="4">
        <v>0.0</v>
      </c>
      <c r="O120" s="4">
        <v>2.0</v>
      </c>
      <c r="P120" s="4">
        <v>0.0</v>
      </c>
      <c r="Q120" s="5"/>
      <c r="R120" s="4">
        <v>234130.0</v>
      </c>
      <c r="S120" s="4">
        <v>397053.84</v>
      </c>
      <c r="T120" s="4">
        <v>139150.93</v>
      </c>
      <c r="U120" s="5" t="s">
        <v>547</v>
      </c>
      <c r="V120" s="5" t="s">
        <v>36</v>
      </c>
      <c r="W120" s="4">
        <v>0.0</v>
      </c>
      <c r="X120" s="4">
        <v>0.0</v>
      </c>
      <c r="Y120" s="4">
        <v>2.0</v>
      </c>
      <c r="Z120" s="4">
        <v>2.0</v>
      </c>
      <c r="AA120" s="4">
        <v>12.0</v>
      </c>
      <c r="AB120" s="4">
        <v>14.0</v>
      </c>
      <c r="AC120" s="5" t="s">
        <v>548</v>
      </c>
      <c r="AD120" s="5"/>
      <c r="AE120" s="7" t="s">
        <v>50</v>
      </c>
    </row>
    <row r="121">
      <c r="A121" s="4">
        <v>-8573388.4053</v>
      </c>
      <c r="B121" s="4">
        <v>4717912.2274</v>
      </c>
      <c r="C121" s="4">
        <v>361944.0</v>
      </c>
      <c r="D121" s="5" t="s">
        <v>51</v>
      </c>
      <c r="E121" s="5" t="s">
        <v>549</v>
      </c>
      <c r="F121" s="5" t="s">
        <v>550</v>
      </c>
      <c r="G121" s="5" t="s">
        <v>33</v>
      </c>
      <c r="H121" s="5" t="s">
        <v>81</v>
      </c>
      <c r="I121" s="4">
        <v>92.0</v>
      </c>
      <c r="J121" s="4">
        <v>38.97374251</v>
      </c>
      <c r="K121" s="4">
        <v>-77.01605612</v>
      </c>
      <c r="L121" s="4">
        <v>26.0</v>
      </c>
      <c r="M121" s="4">
        <v>53.0</v>
      </c>
      <c r="N121" s="4">
        <v>13.0</v>
      </c>
      <c r="O121" s="4">
        <v>0.0</v>
      </c>
      <c r="P121" s="4">
        <v>0.0</v>
      </c>
      <c r="Q121" s="5"/>
      <c r="R121" s="4">
        <v>300685.0</v>
      </c>
      <c r="S121" s="4">
        <v>398608.67</v>
      </c>
      <c r="T121" s="4">
        <v>145091.49</v>
      </c>
      <c r="U121" s="5" t="s">
        <v>551</v>
      </c>
      <c r="V121" s="5" t="s">
        <v>36</v>
      </c>
      <c r="W121" s="4">
        <v>0.0</v>
      </c>
      <c r="X121" s="4">
        <v>0.0</v>
      </c>
      <c r="Y121" s="4">
        <v>92.0</v>
      </c>
      <c r="Z121" s="4">
        <v>92.0</v>
      </c>
      <c r="AA121" s="4">
        <v>0.0</v>
      </c>
      <c r="AB121" s="4">
        <v>92.0</v>
      </c>
      <c r="AC121" s="5" t="s">
        <v>552</v>
      </c>
      <c r="AD121" s="5"/>
      <c r="AE121" s="7" t="s">
        <v>50</v>
      </c>
    </row>
    <row r="122">
      <c r="A122" s="4">
        <v>-8569729.4773</v>
      </c>
      <c r="B122" s="4">
        <v>4702445.5137</v>
      </c>
      <c r="C122" s="4">
        <v>361946.0</v>
      </c>
      <c r="D122" s="5" t="s">
        <v>45</v>
      </c>
      <c r="E122" s="5" t="s">
        <v>553</v>
      </c>
      <c r="F122" s="5" t="s">
        <v>554</v>
      </c>
      <c r="G122" s="5" t="s">
        <v>33</v>
      </c>
      <c r="H122" s="5" t="s">
        <v>34</v>
      </c>
      <c r="I122" s="4">
        <v>2.0</v>
      </c>
      <c r="J122" s="4">
        <v>38.86563863</v>
      </c>
      <c r="K122" s="4">
        <v>-76.98318236</v>
      </c>
      <c r="L122" s="4">
        <v>0.0</v>
      </c>
      <c r="M122" s="4">
        <v>2.0</v>
      </c>
      <c r="N122" s="4">
        <v>0.0</v>
      </c>
      <c r="O122" s="4">
        <v>0.0</v>
      </c>
      <c r="P122" s="4">
        <v>0.0</v>
      </c>
      <c r="Q122" s="5"/>
      <c r="R122" s="4">
        <v>319482.0</v>
      </c>
      <c r="S122" s="4">
        <v>401459.09</v>
      </c>
      <c r="T122" s="4">
        <v>133091.61</v>
      </c>
      <c r="U122" s="5" t="s">
        <v>555</v>
      </c>
      <c r="V122" s="5" t="s">
        <v>36</v>
      </c>
      <c r="W122" s="4">
        <v>0.0</v>
      </c>
      <c r="X122" s="4">
        <v>0.0</v>
      </c>
      <c r="Y122" s="4">
        <v>2.0</v>
      </c>
      <c r="Z122" s="4">
        <v>2.0</v>
      </c>
      <c r="AA122" s="4">
        <v>0.0</v>
      </c>
      <c r="AB122" s="4">
        <v>2.0</v>
      </c>
      <c r="AC122" s="5" t="s">
        <v>556</v>
      </c>
      <c r="AD122" s="5"/>
      <c r="AE122" s="7" t="s">
        <v>50</v>
      </c>
    </row>
    <row r="123">
      <c r="A123" s="4">
        <v>-8572365.9003</v>
      </c>
      <c r="B123" s="4">
        <v>4697617.0308</v>
      </c>
      <c r="C123" s="4">
        <v>361947.0</v>
      </c>
      <c r="D123" s="5" t="s">
        <v>45</v>
      </c>
      <c r="E123" s="5" t="s">
        <v>557</v>
      </c>
      <c r="F123" s="5" t="s">
        <v>558</v>
      </c>
      <c r="G123" s="5" t="s">
        <v>33</v>
      </c>
      <c r="H123" s="5" t="s">
        <v>81</v>
      </c>
      <c r="I123" s="4">
        <v>41.0</v>
      </c>
      <c r="J123" s="4">
        <v>38.83183787</v>
      </c>
      <c r="K123" s="4">
        <v>-77.00703263</v>
      </c>
      <c r="L123" s="4">
        <v>9.0</v>
      </c>
      <c r="M123" s="4">
        <v>32.0</v>
      </c>
      <c r="N123" s="4">
        <v>0.0</v>
      </c>
      <c r="O123" s="4">
        <v>0.0</v>
      </c>
      <c r="P123" s="4">
        <v>0.0</v>
      </c>
      <c r="Q123" s="5"/>
      <c r="R123" s="4">
        <v>57948.0</v>
      </c>
      <c r="S123" s="4">
        <v>399403.43</v>
      </c>
      <c r="T123" s="4">
        <v>129341.61</v>
      </c>
      <c r="U123" s="5" t="s">
        <v>559</v>
      </c>
      <c r="V123" s="5" t="s">
        <v>36</v>
      </c>
      <c r="W123" s="4">
        <v>0.0</v>
      </c>
      <c r="X123" s="4">
        <v>0.0</v>
      </c>
      <c r="Y123" s="4">
        <v>41.0</v>
      </c>
      <c r="Z123" s="4">
        <v>41.0</v>
      </c>
      <c r="AA123" s="4">
        <v>0.0</v>
      </c>
      <c r="AB123" s="4">
        <v>41.0</v>
      </c>
      <c r="AC123" s="5" t="s">
        <v>503</v>
      </c>
      <c r="AD123" s="5"/>
      <c r="AE123" s="7" t="s">
        <v>50</v>
      </c>
    </row>
    <row r="124">
      <c r="A124" s="4">
        <v>-8570849.6312</v>
      </c>
      <c r="B124" s="4">
        <v>4701897.4891</v>
      </c>
      <c r="C124" s="4">
        <v>361948.0</v>
      </c>
      <c r="D124" s="5" t="s">
        <v>45</v>
      </c>
      <c r="E124" s="5" t="s">
        <v>560</v>
      </c>
      <c r="F124" s="5" t="s">
        <v>561</v>
      </c>
      <c r="G124" s="5" t="s">
        <v>33</v>
      </c>
      <c r="H124" s="5" t="s">
        <v>81</v>
      </c>
      <c r="I124" s="4">
        <v>112.0</v>
      </c>
      <c r="J124" s="4">
        <v>38.86181035</v>
      </c>
      <c r="K124" s="4">
        <v>-76.99324994</v>
      </c>
      <c r="L124" s="4">
        <v>6.0</v>
      </c>
      <c r="M124" s="4">
        <v>106.0</v>
      </c>
      <c r="N124" s="4">
        <v>0.0</v>
      </c>
      <c r="O124" s="4">
        <v>0.0</v>
      </c>
      <c r="P124" s="4">
        <v>0.0</v>
      </c>
      <c r="Q124" s="5"/>
      <c r="R124" s="4">
        <v>331211.0</v>
      </c>
      <c r="S124" s="4">
        <v>400585.84</v>
      </c>
      <c r="T124" s="4">
        <v>132665.98</v>
      </c>
      <c r="U124" s="5" t="s">
        <v>562</v>
      </c>
      <c r="V124" s="5" t="s">
        <v>36</v>
      </c>
      <c r="W124" s="4">
        <v>0.0</v>
      </c>
      <c r="X124" s="4">
        <v>0.0</v>
      </c>
      <c r="Y124" s="4">
        <v>112.0</v>
      </c>
      <c r="Z124" s="4">
        <v>112.0</v>
      </c>
      <c r="AA124" s="4">
        <v>0.0</v>
      </c>
      <c r="AB124" s="4">
        <v>112.0</v>
      </c>
      <c r="AC124" s="5" t="s">
        <v>563</v>
      </c>
      <c r="AD124" s="5"/>
      <c r="AE124" s="7" t="s">
        <v>50</v>
      </c>
    </row>
    <row r="125">
      <c r="A125" s="4">
        <v>-8570282.4145</v>
      </c>
      <c r="B125" s="4">
        <v>4699223.7795</v>
      </c>
      <c r="C125" s="4">
        <v>361950.0</v>
      </c>
      <c r="D125" s="5" t="s">
        <v>45</v>
      </c>
      <c r="E125" s="5" t="s">
        <v>564</v>
      </c>
      <c r="F125" s="5" t="s">
        <v>565</v>
      </c>
      <c r="G125" s="5" t="s">
        <v>33</v>
      </c>
      <c r="H125" s="5" t="s">
        <v>81</v>
      </c>
      <c r="I125" s="4">
        <v>65.0</v>
      </c>
      <c r="J125" s="4">
        <v>38.84310607</v>
      </c>
      <c r="K125" s="4">
        <v>-76.98815455</v>
      </c>
      <c r="L125" s="4">
        <v>7.0</v>
      </c>
      <c r="M125" s="4">
        <v>51.0</v>
      </c>
      <c r="N125" s="4">
        <v>7.0</v>
      </c>
      <c r="O125" s="4">
        <v>0.0</v>
      </c>
      <c r="P125" s="4">
        <v>0.0</v>
      </c>
      <c r="Q125" s="9"/>
      <c r="R125" s="4">
        <v>155736.0</v>
      </c>
      <c r="S125" s="4">
        <v>401028.34</v>
      </c>
      <c r="T125" s="4">
        <v>130589.68</v>
      </c>
      <c r="U125" s="5" t="s">
        <v>566</v>
      </c>
      <c r="V125" s="5" t="s">
        <v>36</v>
      </c>
      <c r="W125" s="4">
        <v>0.0</v>
      </c>
      <c r="X125" s="4">
        <v>65.0</v>
      </c>
      <c r="Y125" s="4">
        <v>0.0</v>
      </c>
      <c r="Z125" s="4">
        <v>65.0</v>
      </c>
      <c r="AA125" s="4">
        <v>0.0</v>
      </c>
      <c r="AB125" s="4">
        <v>65.0</v>
      </c>
      <c r="AC125" s="5" t="s">
        <v>567</v>
      </c>
      <c r="AD125" s="5"/>
      <c r="AE125" s="7" t="s">
        <v>50</v>
      </c>
    </row>
    <row r="126">
      <c r="A126" s="4">
        <v>-8575773.955</v>
      </c>
      <c r="B126" s="4">
        <v>4711028.7393</v>
      </c>
      <c r="C126" s="4">
        <v>361951.0</v>
      </c>
      <c r="D126" s="5" t="s">
        <v>114</v>
      </c>
      <c r="E126" s="5" t="s">
        <v>568</v>
      </c>
      <c r="F126" s="5" t="s">
        <v>569</v>
      </c>
      <c r="G126" s="5" t="s">
        <v>33</v>
      </c>
      <c r="H126" s="5" t="s">
        <v>34</v>
      </c>
      <c r="I126" s="4">
        <v>15.0</v>
      </c>
      <c r="J126" s="4">
        <v>38.92581445</v>
      </c>
      <c r="K126" s="4">
        <v>-77.03731712</v>
      </c>
      <c r="L126" s="4">
        <v>0.0</v>
      </c>
      <c r="M126" s="4">
        <v>1.0</v>
      </c>
      <c r="N126" s="4">
        <v>14.0</v>
      </c>
      <c r="O126" s="4">
        <v>0.0</v>
      </c>
      <c r="P126" s="4">
        <v>0.0</v>
      </c>
      <c r="Q126" s="5"/>
      <c r="R126" s="4">
        <v>300437.0</v>
      </c>
      <c r="S126" s="4">
        <v>396749.5</v>
      </c>
      <c r="T126" s="4">
        <v>139753.69</v>
      </c>
      <c r="U126" s="5" t="s">
        <v>570</v>
      </c>
      <c r="V126" s="5" t="s">
        <v>36</v>
      </c>
      <c r="W126" s="4">
        <v>0.0</v>
      </c>
      <c r="X126" s="4">
        <v>0.0</v>
      </c>
      <c r="Y126" s="4">
        <v>15.0</v>
      </c>
      <c r="Z126" s="4">
        <v>15.0</v>
      </c>
      <c r="AA126" s="4">
        <v>91.0</v>
      </c>
      <c r="AB126" s="4">
        <v>106.0</v>
      </c>
      <c r="AC126" s="5" t="s">
        <v>571</v>
      </c>
      <c r="AD126" s="5"/>
      <c r="AE126" s="7" t="s">
        <v>50</v>
      </c>
    </row>
    <row r="127">
      <c r="A127" s="4">
        <v>-8572572.2041</v>
      </c>
      <c r="B127" s="4">
        <v>4709233.6276</v>
      </c>
      <c r="C127" s="4">
        <v>361952.0</v>
      </c>
      <c r="D127" s="5" t="s">
        <v>56</v>
      </c>
      <c r="E127" s="5" t="s">
        <v>572</v>
      </c>
      <c r="F127" s="5" t="s">
        <v>573</v>
      </c>
      <c r="G127" s="5" t="s">
        <v>33</v>
      </c>
      <c r="H127" s="5" t="s">
        <v>34</v>
      </c>
      <c r="I127" s="4">
        <v>1.0</v>
      </c>
      <c r="J127" s="4">
        <v>38.91310723</v>
      </c>
      <c r="K127" s="4">
        <v>-77.00872406</v>
      </c>
      <c r="L127" s="4">
        <v>0.0</v>
      </c>
      <c r="M127" s="4">
        <v>0.0</v>
      </c>
      <c r="N127" s="4">
        <v>1.0</v>
      </c>
      <c r="O127" s="4">
        <v>0.0</v>
      </c>
      <c r="P127" s="4">
        <v>0.0</v>
      </c>
      <c r="Q127" s="5"/>
      <c r="R127" s="4">
        <v>57422.0</v>
      </c>
      <c r="S127" s="4">
        <v>399243.38</v>
      </c>
      <c r="T127" s="4">
        <v>138360.31</v>
      </c>
      <c r="U127" s="5" t="s">
        <v>574</v>
      </c>
      <c r="V127" s="5" t="s">
        <v>36</v>
      </c>
      <c r="W127" s="4">
        <v>0.0</v>
      </c>
      <c r="X127" s="4">
        <v>0.0</v>
      </c>
      <c r="Y127" s="4">
        <v>1.0</v>
      </c>
      <c r="Z127" s="4">
        <v>1.0</v>
      </c>
      <c r="AA127" s="4">
        <v>6.0</v>
      </c>
      <c r="AB127" s="4">
        <v>7.0</v>
      </c>
      <c r="AC127" s="5" t="s">
        <v>575</v>
      </c>
      <c r="AD127" s="5"/>
      <c r="AE127" s="7" t="s">
        <v>50</v>
      </c>
    </row>
    <row r="128">
      <c r="A128" s="4">
        <v>-8574764.1842</v>
      </c>
      <c r="B128" s="4">
        <v>4715527.0487</v>
      </c>
      <c r="C128" s="4">
        <v>361953.0</v>
      </c>
      <c r="D128" s="5" t="s">
        <v>51</v>
      </c>
      <c r="E128" s="5" t="s">
        <v>576</v>
      </c>
      <c r="F128" s="5" t="s">
        <v>577</v>
      </c>
      <c r="G128" s="5" t="s">
        <v>33</v>
      </c>
      <c r="H128" s="5" t="s">
        <v>34</v>
      </c>
      <c r="I128" s="4">
        <v>2.0</v>
      </c>
      <c r="J128" s="4">
        <v>38.95708325</v>
      </c>
      <c r="K128" s="4">
        <v>-77.02841495</v>
      </c>
      <c r="L128" s="4">
        <v>0.0</v>
      </c>
      <c r="M128" s="4">
        <v>1.0</v>
      </c>
      <c r="N128" s="4">
        <v>1.0</v>
      </c>
      <c r="O128" s="4">
        <v>0.0</v>
      </c>
      <c r="P128" s="4">
        <v>0.0</v>
      </c>
      <c r="Q128" s="5"/>
      <c r="R128" s="4">
        <v>253102.0</v>
      </c>
      <c r="S128" s="4">
        <v>397537.15</v>
      </c>
      <c r="T128" s="4">
        <v>143242.38</v>
      </c>
      <c r="U128" s="5" t="s">
        <v>578</v>
      </c>
      <c r="V128" s="5" t="s">
        <v>36</v>
      </c>
      <c r="W128" s="4">
        <v>0.0</v>
      </c>
      <c r="X128" s="4">
        <v>0.0</v>
      </c>
      <c r="Y128" s="4">
        <v>2.0</v>
      </c>
      <c r="Z128" s="4">
        <v>2.0</v>
      </c>
      <c r="AA128" s="4">
        <v>9.0</v>
      </c>
      <c r="AB128" s="4">
        <v>11.0</v>
      </c>
      <c r="AC128" s="5" t="s">
        <v>579</v>
      </c>
      <c r="AD128" s="5"/>
      <c r="AE128" s="7" t="s">
        <v>50</v>
      </c>
    </row>
    <row r="129">
      <c r="A129" s="4">
        <v>-8575567.3195</v>
      </c>
      <c r="B129" s="4">
        <v>4712748.4296</v>
      </c>
      <c r="C129" s="4">
        <v>361955.0</v>
      </c>
      <c r="D129" s="5" t="s">
        <v>51</v>
      </c>
      <c r="E129" s="5" t="s">
        <v>580</v>
      </c>
      <c r="F129" s="5" t="s">
        <v>581</v>
      </c>
      <c r="G129" s="5" t="s">
        <v>33</v>
      </c>
      <c r="H129" s="5" t="s">
        <v>34</v>
      </c>
      <c r="I129" s="4">
        <v>13.0</v>
      </c>
      <c r="J129" s="4">
        <v>38.93767069</v>
      </c>
      <c r="K129" s="4">
        <v>-77.03562963</v>
      </c>
      <c r="L129" s="4">
        <v>6.0</v>
      </c>
      <c r="M129" s="4">
        <v>3.0</v>
      </c>
      <c r="N129" s="4">
        <v>0.0</v>
      </c>
      <c r="O129" s="4">
        <v>4.0</v>
      </c>
      <c r="P129" s="4">
        <v>0.0</v>
      </c>
      <c r="Q129" s="8"/>
      <c r="R129" s="4">
        <v>259017.0</v>
      </c>
      <c r="S129" s="4">
        <v>396910.98</v>
      </c>
      <c r="T129" s="4">
        <v>141087.63</v>
      </c>
      <c r="U129" s="5" t="s">
        <v>582</v>
      </c>
      <c r="V129" s="5" t="s">
        <v>36</v>
      </c>
      <c r="W129" s="4">
        <v>13.0</v>
      </c>
      <c r="X129" s="4">
        <v>0.0</v>
      </c>
      <c r="Y129" s="4">
        <v>0.0</v>
      </c>
      <c r="Z129" s="4">
        <v>0.0</v>
      </c>
      <c r="AA129" s="4">
        <v>0.0</v>
      </c>
      <c r="AB129" s="4">
        <v>13.0</v>
      </c>
      <c r="AC129" s="5" t="s">
        <v>583</v>
      </c>
      <c r="AD129" s="5"/>
      <c r="AE129" s="7" t="s">
        <v>50</v>
      </c>
    </row>
    <row r="130">
      <c r="A130" s="4">
        <v>-8575031.7306</v>
      </c>
      <c r="B130" s="4">
        <v>4717949.4036</v>
      </c>
      <c r="C130" s="4">
        <v>361956.0</v>
      </c>
      <c r="D130" s="5" t="s">
        <v>51</v>
      </c>
      <c r="E130" s="5" t="s">
        <v>584</v>
      </c>
      <c r="F130" s="5" t="s">
        <v>585</v>
      </c>
      <c r="G130" s="5" t="s">
        <v>33</v>
      </c>
      <c r="H130" s="5" t="s">
        <v>63</v>
      </c>
      <c r="I130" s="4">
        <v>54.0</v>
      </c>
      <c r="J130" s="4">
        <v>38.97400214</v>
      </c>
      <c r="K130" s="4">
        <v>-77.03081836</v>
      </c>
      <c r="L130" s="4">
        <v>54.0</v>
      </c>
      <c r="M130" s="4">
        <v>0.0</v>
      </c>
      <c r="N130" s="4">
        <v>0.0</v>
      </c>
      <c r="O130" s="4">
        <v>0.0</v>
      </c>
      <c r="P130" s="4">
        <v>0.0</v>
      </c>
      <c r="Q130" s="5"/>
      <c r="R130" s="4">
        <v>316863.0</v>
      </c>
      <c r="S130" s="4">
        <v>397329.47</v>
      </c>
      <c r="T130" s="4">
        <v>145120.64</v>
      </c>
      <c r="U130" s="5" t="s">
        <v>586</v>
      </c>
      <c r="V130" s="5" t="s">
        <v>36</v>
      </c>
      <c r="W130" s="4">
        <v>0.0</v>
      </c>
      <c r="X130" s="4">
        <v>0.0</v>
      </c>
      <c r="Y130" s="4">
        <v>54.0</v>
      </c>
      <c r="Z130" s="4">
        <v>54.0</v>
      </c>
      <c r="AA130" s="4">
        <v>0.0</v>
      </c>
      <c r="AB130" s="4">
        <v>54.0</v>
      </c>
      <c r="AC130" s="5" t="s">
        <v>587</v>
      </c>
      <c r="AD130" s="5"/>
      <c r="AE130" s="7" t="s">
        <v>50</v>
      </c>
    </row>
    <row r="131">
      <c r="A131" s="4">
        <v>-8574661.658</v>
      </c>
      <c r="B131" s="4">
        <v>4712539.5821</v>
      </c>
      <c r="C131" s="4">
        <v>361958.0</v>
      </c>
      <c r="D131" s="5" t="s">
        <v>51</v>
      </c>
      <c r="E131" s="5" t="s">
        <v>588</v>
      </c>
      <c r="F131" s="5" t="s">
        <v>589</v>
      </c>
      <c r="G131" s="5" t="s">
        <v>33</v>
      </c>
      <c r="H131" s="5" t="s">
        <v>275</v>
      </c>
      <c r="I131" s="4">
        <v>58.0</v>
      </c>
      <c r="J131" s="4">
        <v>38.93621104</v>
      </c>
      <c r="K131" s="4">
        <v>-77.02749394</v>
      </c>
      <c r="L131" s="4">
        <v>9.0</v>
      </c>
      <c r="M131" s="4">
        <v>49.0</v>
      </c>
      <c r="N131" s="4">
        <v>0.0</v>
      </c>
      <c r="O131" s="4">
        <v>0.0</v>
      </c>
      <c r="P131" s="4">
        <v>0.0</v>
      </c>
      <c r="Q131" s="5"/>
      <c r="R131" s="4">
        <v>320396.0</v>
      </c>
      <c r="S131" s="4">
        <v>397616.28</v>
      </c>
      <c r="T131" s="4">
        <v>140925.39</v>
      </c>
      <c r="U131" s="5" t="s">
        <v>590</v>
      </c>
      <c r="V131" s="5" t="s">
        <v>36</v>
      </c>
      <c r="W131" s="4">
        <v>0.0</v>
      </c>
      <c r="X131" s="4">
        <v>0.0</v>
      </c>
      <c r="Y131" s="4">
        <v>58.0</v>
      </c>
      <c r="Z131" s="4">
        <v>58.0</v>
      </c>
      <c r="AA131" s="4">
        <v>29.0</v>
      </c>
      <c r="AB131" s="4">
        <v>87.0</v>
      </c>
      <c r="AC131" s="5" t="s">
        <v>591</v>
      </c>
      <c r="AD131" s="5"/>
      <c r="AE131" s="7" t="s">
        <v>50</v>
      </c>
    </row>
    <row r="132">
      <c r="A132" s="4">
        <v>-8575208.6693</v>
      </c>
      <c r="B132" s="4">
        <v>4712550.3729</v>
      </c>
      <c r="C132" s="4">
        <v>361959.0</v>
      </c>
      <c r="D132" s="5" t="s">
        <v>114</v>
      </c>
      <c r="E132" s="5" t="s">
        <v>592</v>
      </c>
      <c r="F132" s="5" t="s">
        <v>593</v>
      </c>
      <c r="G132" s="5" t="s">
        <v>33</v>
      </c>
      <c r="H132" s="5" t="s">
        <v>34</v>
      </c>
      <c r="I132" s="4">
        <v>1.0</v>
      </c>
      <c r="J132" s="4">
        <v>38.93628732</v>
      </c>
      <c r="K132" s="4">
        <v>-77.03241013</v>
      </c>
      <c r="L132" s="4">
        <v>0.0</v>
      </c>
      <c r="M132" s="4">
        <v>1.0</v>
      </c>
      <c r="N132" s="4">
        <v>0.0</v>
      </c>
      <c r="O132" s="4">
        <v>0.0</v>
      </c>
      <c r="P132" s="4">
        <v>0.0</v>
      </c>
      <c r="Q132" s="5"/>
      <c r="R132" s="4">
        <v>230181.0</v>
      </c>
      <c r="S132" s="4">
        <v>397190.25</v>
      </c>
      <c r="T132" s="4">
        <v>140933.9</v>
      </c>
      <c r="U132" s="5" t="s">
        <v>594</v>
      </c>
      <c r="V132" s="5" t="s">
        <v>36</v>
      </c>
      <c r="W132" s="4">
        <v>0.0</v>
      </c>
      <c r="X132" s="4">
        <v>0.0</v>
      </c>
      <c r="Y132" s="4">
        <v>1.0</v>
      </c>
      <c r="Z132" s="4">
        <v>1.0</v>
      </c>
      <c r="AA132" s="4">
        <v>9.0</v>
      </c>
      <c r="AB132" s="4">
        <v>10.0</v>
      </c>
      <c r="AC132" s="5" t="s">
        <v>595</v>
      </c>
      <c r="AD132" s="5"/>
      <c r="AE132" s="7" t="s">
        <v>50</v>
      </c>
    </row>
    <row r="133">
      <c r="A133" s="4">
        <v>-8570575.7643</v>
      </c>
      <c r="B133" s="4">
        <v>4712508.0726</v>
      </c>
      <c r="C133" s="4">
        <v>361960.0</v>
      </c>
      <c r="D133" s="5" t="s">
        <v>56</v>
      </c>
      <c r="E133" s="5" t="s">
        <v>596</v>
      </c>
      <c r="F133" s="5" t="s">
        <v>597</v>
      </c>
      <c r="G133" s="5" t="s">
        <v>33</v>
      </c>
      <c r="H133" s="5" t="s">
        <v>34</v>
      </c>
      <c r="I133" s="4">
        <v>3.0</v>
      </c>
      <c r="J133" s="4">
        <v>38.93598615</v>
      </c>
      <c r="K133" s="4">
        <v>-76.99071016</v>
      </c>
      <c r="L133" s="4">
        <v>0.0</v>
      </c>
      <c r="M133" s="4">
        <v>0.0</v>
      </c>
      <c r="N133" s="4">
        <v>3.0</v>
      </c>
      <c r="O133" s="4">
        <v>0.0</v>
      </c>
      <c r="P133" s="4">
        <v>0.0</v>
      </c>
      <c r="Q133" s="5"/>
      <c r="R133" s="4">
        <v>72105.0</v>
      </c>
      <c r="S133" s="4">
        <v>400798.53</v>
      </c>
      <c r="T133" s="4">
        <v>140900.63</v>
      </c>
      <c r="U133" s="5" t="s">
        <v>598</v>
      </c>
      <c r="V133" s="5" t="s">
        <v>36</v>
      </c>
      <c r="W133" s="4">
        <v>0.0</v>
      </c>
      <c r="X133" s="4">
        <v>0.0</v>
      </c>
      <c r="Y133" s="4">
        <v>3.0</v>
      </c>
      <c r="Z133" s="4">
        <v>3.0</v>
      </c>
      <c r="AA133" s="4">
        <v>24.0</v>
      </c>
      <c r="AB133" s="4">
        <v>27.0</v>
      </c>
      <c r="AC133" s="5" t="s">
        <v>599</v>
      </c>
      <c r="AD133" s="5"/>
      <c r="AE133" s="7" t="s">
        <v>50</v>
      </c>
    </row>
    <row r="134">
      <c r="A134" s="4">
        <v>-8574579.427</v>
      </c>
      <c r="B134" s="4">
        <v>4708474.1172</v>
      </c>
      <c r="C134" s="4">
        <v>361961.0</v>
      </c>
      <c r="D134" s="5" t="s">
        <v>442</v>
      </c>
      <c r="E134" s="5" t="s">
        <v>600</v>
      </c>
      <c r="F134" s="5" t="s">
        <v>601</v>
      </c>
      <c r="G134" s="5" t="s">
        <v>33</v>
      </c>
      <c r="H134" s="5" t="s">
        <v>34</v>
      </c>
      <c r="I134" s="4">
        <v>1.0</v>
      </c>
      <c r="J134" s="4">
        <v>38.90779822</v>
      </c>
      <c r="K134" s="4">
        <v>-77.02675525</v>
      </c>
      <c r="L134" s="4">
        <v>0.0</v>
      </c>
      <c r="M134" s="4">
        <v>0.0</v>
      </c>
      <c r="N134" s="4">
        <v>0.0</v>
      </c>
      <c r="O134" s="4">
        <v>1.0</v>
      </c>
      <c r="P134" s="4">
        <v>0.0</v>
      </c>
      <c r="Q134" s="5"/>
      <c r="R134" s="4">
        <v>239301.0</v>
      </c>
      <c r="S134" s="4">
        <v>397679.4</v>
      </c>
      <c r="T134" s="4">
        <v>137771.27</v>
      </c>
      <c r="U134" s="5" t="s">
        <v>602</v>
      </c>
      <c r="V134" s="5" t="s">
        <v>36</v>
      </c>
      <c r="W134" s="4">
        <v>0.0</v>
      </c>
      <c r="X134" s="4">
        <v>0.0</v>
      </c>
      <c r="Y134" s="4">
        <v>1.0</v>
      </c>
      <c r="Z134" s="4">
        <v>1.0</v>
      </c>
      <c r="AA134" s="4">
        <v>8.0</v>
      </c>
      <c r="AB134" s="4">
        <v>9.0</v>
      </c>
      <c r="AC134" s="5" t="s">
        <v>493</v>
      </c>
      <c r="AD134" s="5"/>
      <c r="AE134" s="7" t="s">
        <v>50</v>
      </c>
    </row>
    <row r="135">
      <c r="A135" s="4">
        <v>-8564449.2713</v>
      </c>
      <c r="B135" s="4">
        <v>4709206.1582</v>
      </c>
      <c r="C135" s="4">
        <v>361962.0</v>
      </c>
      <c r="D135" s="5" t="s">
        <v>30</v>
      </c>
      <c r="E135" s="5" t="s">
        <v>603</v>
      </c>
      <c r="F135" s="5" t="s">
        <v>604</v>
      </c>
      <c r="G135" s="5" t="s">
        <v>33</v>
      </c>
      <c r="H135" s="5" t="s">
        <v>81</v>
      </c>
      <c r="I135" s="4">
        <v>157.0</v>
      </c>
      <c r="J135" s="4">
        <v>38.91279107</v>
      </c>
      <c r="K135" s="4">
        <v>-76.93584528</v>
      </c>
      <c r="L135" s="4">
        <v>0.0</v>
      </c>
      <c r="M135" s="4">
        <v>0.0</v>
      </c>
      <c r="N135" s="4">
        <v>157.0</v>
      </c>
      <c r="O135" s="4">
        <v>0.0</v>
      </c>
      <c r="P135" s="4">
        <v>0.0</v>
      </c>
      <c r="Q135" s="9"/>
      <c r="R135" s="4">
        <v>320174.0</v>
      </c>
      <c r="S135" s="4">
        <v>405571.89</v>
      </c>
      <c r="T135" s="4">
        <v>138340.92</v>
      </c>
      <c r="U135" s="5" t="s">
        <v>605</v>
      </c>
      <c r="V135" s="5" t="s">
        <v>36</v>
      </c>
      <c r="W135" s="4">
        <v>0.0</v>
      </c>
      <c r="X135" s="4">
        <v>0.0</v>
      </c>
      <c r="Y135" s="4">
        <v>157.0</v>
      </c>
      <c r="Z135" s="4">
        <v>157.0</v>
      </c>
      <c r="AA135" s="4">
        <v>0.0</v>
      </c>
      <c r="AB135" s="4">
        <v>157.0</v>
      </c>
      <c r="AC135" s="5" t="s">
        <v>606</v>
      </c>
      <c r="AD135" s="5"/>
      <c r="AE135" s="7" t="s">
        <v>50</v>
      </c>
    </row>
    <row r="136">
      <c r="A136" s="4">
        <v>-8573436.9015</v>
      </c>
      <c r="B136" s="4">
        <v>4704792.1882</v>
      </c>
      <c r="C136" s="4">
        <v>361963.0</v>
      </c>
      <c r="D136" s="5" t="s">
        <v>39</v>
      </c>
      <c r="E136" s="5" t="s">
        <v>607</v>
      </c>
      <c r="F136" s="5" t="s">
        <v>608</v>
      </c>
      <c r="G136" s="5" t="s">
        <v>33</v>
      </c>
      <c r="H136" s="5" t="s">
        <v>34</v>
      </c>
      <c r="I136" s="4">
        <v>19.0</v>
      </c>
      <c r="J136" s="4">
        <v>38.8819436</v>
      </c>
      <c r="K136" s="4">
        <v>-77.01717785</v>
      </c>
      <c r="L136" s="4">
        <v>0.0</v>
      </c>
      <c r="M136" s="4">
        <v>10.0</v>
      </c>
      <c r="N136" s="4">
        <v>0.0</v>
      </c>
      <c r="O136" s="4">
        <v>9.0</v>
      </c>
      <c r="P136" s="4">
        <v>0.0</v>
      </c>
      <c r="Q136" s="5"/>
      <c r="R136" s="4">
        <v>318962.0</v>
      </c>
      <c r="S136" s="4">
        <v>398569.08</v>
      </c>
      <c r="T136" s="4">
        <v>134913.44</v>
      </c>
      <c r="U136" s="5" t="s">
        <v>609</v>
      </c>
      <c r="V136" s="5" t="s">
        <v>36</v>
      </c>
      <c r="W136" s="4">
        <v>0.0</v>
      </c>
      <c r="X136" s="4">
        <v>0.0</v>
      </c>
      <c r="Y136" s="4">
        <v>19.0</v>
      </c>
      <c r="Z136" s="4">
        <v>19.0</v>
      </c>
      <c r="AA136" s="4">
        <v>296.0</v>
      </c>
      <c r="AB136" s="4">
        <v>315.0</v>
      </c>
      <c r="AC136" s="5" t="s">
        <v>610</v>
      </c>
      <c r="AD136" s="5"/>
      <c r="AE136" s="7" t="s">
        <v>50</v>
      </c>
    </row>
    <row r="137">
      <c r="A137" s="4">
        <v>-8570887.4147</v>
      </c>
      <c r="B137" s="4">
        <v>4710748.5869</v>
      </c>
      <c r="C137" s="4">
        <v>361964.0</v>
      </c>
      <c r="D137" s="5" t="s">
        <v>56</v>
      </c>
      <c r="E137" s="5" t="s">
        <v>611</v>
      </c>
      <c r="F137" s="5" t="s">
        <v>612</v>
      </c>
      <c r="G137" s="5" t="s">
        <v>33</v>
      </c>
      <c r="H137" s="5" t="s">
        <v>34</v>
      </c>
      <c r="I137" s="4">
        <v>26.0</v>
      </c>
      <c r="J137" s="4">
        <v>38.92373804</v>
      </c>
      <c r="K137" s="4">
        <v>-76.99353537</v>
      </c>
      <c r="L137" s="4">
        <v>0.0</v>
      </c>
      <c r="M137" s="4">
        <v>1.0</v>
      </c>
      <c r="N137" s="4">
        <v>25.0</v>
      </c>
      <c r="O137" s="4">
        <v>0.0</v>
      </c>
      <c r="P137" s="4">
        <v>0.0</v>
      </c>
      <c r="Q137" s="5"/>
      <c r="R137" s="4">
        <v>289748.0</v>
      </c>
      <c r="S137" s="4">
        <v>400555.9</v>
      </c>
      <c r="T137" s="4">
        <v>139535.7</v>
      </c>
      <c r="U137" s="5" t="s">
        <v>613</v>
      </c>
      <c r="V137" s="5" t="s">
        <v>36</v>
      </c>
      <c r="W137" s="4">
        <v>0.0</v>
      </c>
      <c r="X137" s="4">
        <v>0.0</v>
      </c>
      <c r="Y137" s="4">
        <v>26.0</v>
      </c>
      <c r="Z137" s="4">
        <v>26.0</v>
      </c>
      <c r="AA137" s="4">
        <v>327.0</v>
      </c>
      <c r="AB137" s="4">
        <v>353.0</v>
      </c>
      <c r="AC137" s="5" t="s">
        <v>614</v>
      </c>
      <c r="AD137" s="5"/>
      <c r="AE137" s="7" t="s">
        <v>50</v>
      </c>
    </row>
    <row r="138">
      <c r="A138" s="4">
        <v>-8574167.0304</v>
      </c>
      <c r="B138" s="4">
        <v>4711597.7569</v>
      </c>
      <c r="C138" s="4">
        <v>361966.0</v>
      </c>
      <c r="D138" s="5" t="s">
        <v>114</v>
      </c>
      <c r="E138" s="5" t="s">
        <v>615</v>
      </c>
      <c r="F138" s="5" t="s">
        <v>616</v>
      </c>
      <c r="G138" s="5" t="s">
        <v>33</v>
      </c>
      <c r="H138" s="5" t="s">
        <v>34</v>
      </c>
      <c r="I138" s="4">
        <v>1.0</v>
      </c>
      <c r="J138" s="4">
        <v>38.92963006</v>
      </c>
      <c r="K138" s="4">
        <v>-77.02305063</v>
      </c>
      <c r="L138" s="4">
        <v>0.0</v>
      </c>
      <c r="M138" s="4">
        <v>0.0</v>
      </c>
      <c r="N138" s="4">
        <v>0.0</v>
      </c>
      <c r="O138" s="4">
        <v>1.0</v>
      </c>
      <c r="P138" s="4">
        <v>0.0</v>
      </c>
      <c r="Q138" s="5"/>
      <c r="R138" s="4">
        <v>229226.0</v>
      </c>
      <c r="S138" s="4">
        <v>398001.33</v>
      </c>
      <c r="T138" s="4">
        <v>140194.7</v>
      </c>
      <c r="U138" s="5" t="s">
        <v>617</v>
      </c>
      <c r="V138" s="5" t="s">
        <v>36</v>
      </c>
      <c r="W138" s="4">
        <v>0.0</v>
      </c>
      <c r="X138" s="4">
        <v>0.0</v>
      </c>
      <c r="Y138" s="4">
        <v>1.0</v>
      </c>
      <c r="Z138" s="4">
        <v>1.0</v>
      </c>
      <c r="AA138" s="4">
        <v>9.0</v>
      </c>
      <c r="AB138" s="4">
        <v>10.0</v>
      </c>
      <c r="AC138" s="5" t="s">
        <v>361</v>
      </c>
      <c r="AD138" s="5"/>
      <c r="AE138" s="7" t="s">
        <v>50</v>
      </c>
    </row>
    <row r="139">
      <c r="A139" s="4">
        <v>-8575237.6674</v>
      </c>
      <c r="B139" s="4">
        <v>4710334.4376</v>
      </c>
      <c r="C139" s="4">
        <v>361967.0</v>
      </c>
      <c r="D139" s="5" t="s">
        <v>114</v>
      </c>
      <c r="E139" s="5" t="s">
        <v>618</v>
      </c>
      <c r="F139" s="5" t="s">
        <v>619</v>
      </c>
      <c r="G139" s="5" t="s">
        <v>33</v>
      </c>
      <c r="H139" s="5" t="s">
        <v>34</v>
      </c>
      <c r="I139" s="4">
        <v>4.0</v>
      </c>
      <c r="J139" s="4">
        <v>38.92085249</v>
      </c>
      <c r="K139" s="4">
        <v>-77.03267722</v>
      </c>
      <c r="L139" s="4">
        <v>0.0</v>
      </c>
      <c r="M139" s="4">
        <v>1.0</v>
      </c>
      <c r="N139" s="4">
        <v>3.0</v>
      </c>
      <c r="O139" s="4">
        <v>0.0</v>
      </c>
      <c r="P139" s="4">
        <v>0.0</v>
      </c>
      <c r="Q139" s="5"/>
      <c r="R139" s="4">
        <v>234175.0</v>
      </c>
      <c r="S139" s="4">
        <v>397167.05</v>
      </c>
      <c r="T139" s="4">
        <v>139214.88</v>
      </c>
      <c r="U139" s="5" t="s">
        <v>620</v>
      </c>
      <c r="V139" s="5" t="s">
        <v>36</v>
      </c>
      <c r="W139" s="4">
        <v>0.0</v>
      </c>
      <c r="X139" s="4">
        <v>0.0</v>
      </c>
      <c r="Y139" s="4">
        <v>4.0</v>
      </c>
      <c r="Z139" s="4">
        <v>4.0</v>
      </c>
      <c r="AA139" s="4">
        <v>39.0</v>
      </c>
      <c r="AB139" s="4">
        <v>43.0</v>
      </c>
      <c r="AC139" s="5" t="s">
        <v>621</v>
      </c>
      <c r="AD139" s="5"/>
      <c r="AE139" s="7" t="s">
        <v>50</v>
      </c>
    </row>
    <row r="140">
      <c r="A140" s="4">
        <v>-8574427.6521</v>
      </c>
      <c r="B140" s="4">
        <v>4709979.3589</v>
      </c>
      <c r="C140" s="4">
        <v>361968.0</v>
      </c>
      <c r="D140" s="5" t="s">
        <v>114</v>
      </c>
      <c r="E140" s="5" t="s">
        <v>622</v>
      </c>
      <c r="F140" s="5" t="s">
        <v>623</v>
      </c>
      <c r="G140" s="5" t="s">
        <v>33</v>
      </c>
      <c r="H140" s="5" t="s">
        <v>34</v>
      </c>
      <c r="I140" s="4">
        <v>2.0</v>
      </c>
      <c r="J140" s="4">
        <v>38.91835421</v>
      </c>
      <c r="K140" s="4">
        <v>-77.02545504</v>
      </c>
      <c r="L140" s="4">
        <v>0.0</v>
      </c>
      <c r="M140" s="4">
        <v>1.0</v>
      </c>
      <c r="N140" s="4">
        <v>0.0</v>
      </c>
      <c r="O140" s="4">
        <v>1.0</v>
      </c>
      <c r="P140" s="4">
        <v>0.0</v>
      </c>
      <c r="Q140" s="5"/>
      <c r="R140" s="4">
        <v>285464.0</v>
      </c>
      <c r="S140" s="4">
        <v>397797.98</v>
      </c>
      <c r="T140" s="4">
        <v>138939.19</v>
      </c>
      <c r="U140" s="5" t="s">
        <v>624</v>
      </c>
      <c r="V140" s="5" t="s">
        <v>36</v>
      </c>
      <c r="W140" s="4">
        <v>0.0</v>
      </c>
      <c r="X140" s="4">
        <v>0.0</v>
      </c>
      <c r="Y140" s="4">
        <v>2.0</v>
      </c>
      <c r="Z140" s="4">
        <v>2.0</v>
      </c>
      <c r="AA140" s="4">
        <v>17.0</v>
      </c>
      <c r="AB140" s="4">
        <v>19.0</v>
      </c>
      <c r="AC140" s="5" t="s">
        <v>625</v>
      </c>
      <c r="AD140" s="5"/>
      <c r="AE140" s="7" t="s">
        <v>50</v>
      </c>
    </row>
    <row r="141">
      <c r="A141" s="4">
        <v>-8570448.7532</v>
      </c>
      <c r="B141" s="4">
        <v>4707633.3701</v>
      </c>
      <c r="C141" s="4">
        <v>361970.0</v>
      </c>
      <c r="D141" s="5" t="s">
        <v>39</v>
      </c>
      <c r="E141" s="5" t="s">
        <v>626</v>
      </c>
      <c r="F141" s="5" t="s">
        <v>627</v>
      </c>
      <c r="G141" s="5" t="s">
        <v>33</v>
      </c>
      <c r="H141" s="5" t="s">
        <v>34</v>
      </c>
      <c r="I141" s="4">
        <v>2.0</v>
      </c>
      <c r="J141" s="4">
        <v>38.90192954</v>
      </c>
      <c r="K141" s="4">
        <v>-76.98963507</v>
      </c>
      <c r="L141" s="4">
        <v>0.0</v>
      </c>
      <c r="M141" s="4">
        <v>0.0</v>
      </c>
      <c r="N141" s="4">
        <v>2.0</v>
      </c>
      <c r="O141" s="4">
        <v>0.0</v>
      </c>
      <c r="P141" s="4">
        <v>0.0</v>
      </c>
      <c r="Q141" s="5"/>
      <c r="R141" s="4">
        <v>306565.0</v>
      </c>
      <c r="S141" s="4">
        <v>400897.88</v>
      </c>
      <c r="T141" s="4">
        <v>137118.55</v>
      </c>
      <c r="U141" s="5" t="s">
        <v>628</v>
      </c>
      <c r="V141" s="5" t="s">
        <v>36</v>
      </c>
      <c r="W141" s="4">
        <v>0.0</v>
      </c>
      <c r="X141" s="4">
        <v>0.0</v>
      </c>
      <c r="Y141" s="4">
        <v>2.0</v>
      </c>
      <c r="Z141" s="4">
        <v>2.0</v>
      </c>
      <c r="AA141" s="4">
        <v>22.0</v>
      </c>
      <c r="AB141" s="4">
        <v>24.0</v>
      </c>
      <c r="AC141" s="5" t="s">
        <v>629</v>
      </c>
      <c r="AD141" s="5"/>
      <c r="AE141" s="7" t="s">
        <v>50</v>
      </c>
    </row>
    <row r="142">
      <c r="A142" s="4">
        <v>-8574361.5796</v>
      </c>
      <c r="B142" s="4">
        <v>4715375.965</v>
      </c>
      <c r="C142" s="4">
        <v>361971.0</v>
      </c>
      <c r="D142" s="5" t="s">
        <v>51</v>
      </c>
      <c r="E142" s="5" t="s">
        <v>630</v>
      </c>
      <c r="F142" s="5" t="s">
        <v>631</v>
      </c>
      <c r="G142" s="5" t="s">
        <v>33</v>
      </c>
      <c r="H142" s="5" t="s">
        <v>34</v>
      </c>
      <c r="I142" s="4">
        <v>1.0</v>
      </c>
      <c r="J142" s="4">
        <v>38.95611235</v>
      </c>
      <c r="K142" s="4">
        <v>-77.02480813</v>
      </c>
      <c r="L142" s="4">
        <v>0.0</v>
      </c>
      <c r="M142" s="4">
        <v>0.0</v>
      </c>
      <c r="N142" s="4">
        <v>0.0</v>
      </c>
      <c r="O142" s="4">
        <v>1.0</v>
      </c>
      <c r="P142" s="4">
        <v>0.0</v>
      </c>
      <c r="Q142" s="5"/>
      <c r="R142" s="4">
        <v>254546.0</v>
      </c>
      <c r="S142" s="4">
        <v>397850.59</v>
      </c>
      <c r="T142" s="4">
        <v>143125.13</v>
      </c>
      <c r="U142" s="5" t="s">
        <v>632</v>
      </c>
      <c r="V142" s="5" t="s">
        <v>36</v>
      </c>
      <c r="W142" s="4">
        <v>0.0</v>
      </c>
      <c r="X142" s="4">
        <v>0.0</v>
      </c>
      <c r="Y142" s="4">
        <v>1.0</v>
      </c>
      <c r="Z142" s="4">
        <v>1.0</v>
      </c>
      <c r="AA142" s="4">
        <v>11.0</v>
      </c>
      <c r="AB142" s="4">
        <v>12.0</v>
      </c>
      <c r="AC142" s="5" t="s">
        <v>633</v>
      </c>
      <c r="AD142" s="5"/>
      <c r="AE142" s="7" t="s">
        <v>50</v>
      </c>
    </row>
    <row r="143">
      <c r="A143" s="4">
        <v>-8569081.6817</v>
      </c>
      <c r="B143" s="4">
        <v>4707262.9439</v>
      </c>
      <c r="C143" s="4">
        <v>361972.0</v>
      </c>
      <c r="D143" s="5" t="s">
        <v>56</v>
      </c>
      <c r="E143" s="5" t="s">
        <v>634</v>
      </c>
      <c r="F143" s="5" t="s">
        <v>635</v>
      </c>
      <c r="G143" s="5" t="s">
        <v>33</v>
      </c>
      <c r="H143" s="5" t="s">
        <v>34</v>
      </c>
      <c r="I143" s="4">
        <v>1.0</v>
      </c>
      <c r="J143" s="4">
        <v>38.89937522</v>
      </c>
      <c r="K143" s="4">
        <v>-76.97735445</v>
      </c>
      <c r="L143" s="4">
        <v>0.0</v>
      </c>
      <c r="M143" s="4">
        <v>1.0</v>
      </c>
      <c r="N143" s="4">
        <v>0.0</v>
      </c>
      <c r="O143" s="4">
        <v>0.0</v>
      </c>
      <c r="P143" s="4">
        <v>0.0</v>
      </c>
      <c r="Q143" s="5"/>
      <c r="R143" s="4">
        <v>319625.0</v>
      </c>
      <c r="S143" s="4">
        <v>401963.19</v>
      </c>
      <c r="T143" s="4">
        <v>136831.27</v>
      </c>
      <c r="U143" s="5" t="s">
        <v>636</v>
      </c>
      <c r="V143" s="5" t="s">
        <v>36</v>
      </c>
      <c r="W143" s="4">
        <v>0.0</v>
      </c>
      <c r="X143" s="4">
        <v>0.0</v>
      </c>
      <c r="Y143" s="4">
        <v>1.0</v>
      </c>
      <c r="Z143" s="4">
        <v>1.0</v>
      </c>
      <c r="AA143" s="4">
        <v>9.0</v>
      </c>
      <c r="AB143" s="4">
        <v>10.0</v>
      </c>
      <c r="AC143" s="5" t="s">
        <v>637</v>
      </c>
      <c r="AD143" s="5"/>
      <c r="AE143" s="7" t="s">
        <v>50</v>
      </c>
    </row>
    <row r="144">
      <c r="A144" s="4">
        <v>-8569992.9873</v>
      </c>
      <c r="B144" s="4">
        <v>4708760.676</v>
      </c>
      <c r="C144" s="4">
        <v>361974.0</v>
      </c>
      <c r="D144" s="5" t="s">
        <v>56</v>
      </c>
      <c r="E144" s="5" t="s">
        <v>638</v>
      </c>
      <c r="F144" s="5" t="s">
        <v>639</v>
      </c>
      <c r="G144" s="5" t="s">
        <v>33</v>
      </c>
      <c r="H144" s="5" t="s">
        <v>34</v>
      </c>
      <c r="I144" s="4">
        <v>1.0</v>
      </c>
      <c r="J144" s="4">
        <v>38.90978907</v>
      </c>
      <c r="K144" s="4">
        <v>-76.98551584</v>
      </c>
      <c r="L144" s="4">
        <v>0.0</v>
      </c>
      <c r="M144" s="4">
        <v>0.0</v>
      </c>
      <c r="N144" s="4">
        <v>0.0</v>
      </c>
      <c r="O144" s="4">
        <v>1.0</v>
      </c>
      <c r="P144" s="4">
        <v>0.0</v>
      </c>
      <c r="Q144" s="5"/>
      <c r="R144" s="4">
        <v>56871.0</v>
      </c>
      <c r="S144" s="4">
        <v>401252.88</v>
      </c>
      <c r="T144" s="4">
        <v>137993.39</v>
      </c>
      <c r="U144" s="5" t="s">
        <v>640</v>
      </c>
      <c r="V144" s="5" t="s">
        <v>36</v>
      </c>
      <c r="W144" s="4">
        <v>0.0</v>
      </c>
      <c r="X144" s="4">
        <v>0.0</v>
      </c>
      <c r="Y144" s="4">
        <v>1.0</v>
      </c>
      <c r="Z144" s="4">
        <v>1.0</v>
      </c>
      <c r="AA144" s="4">
        <v>6.0</v>
      </c>
      <c r="AB144" s="4">
        <v>7.0</v>
      </c>
      <c r="AC144" s="5" t="s">
        <v>641</v>
      </c>
      <c r="AD144" s="5"/>
      <c r="AE144" s="7" t="s">
        <v>38</v>
      </c>
    </row>
    <row r="145">
      <c r="A145" s="4">
        <v>-8574746.4219</v>
      </c>
      <c r="B145" s="4">
        <v>4711778.711</v>
      </c>
      <c r="C145" s="4">
        <v>361975.0</v>
      </c>
      <c r="D145" s="5" t="s">
        <v>114</v>
      </c>
      <c r="E145" s="5" t="s">
        <v>642</v>
      </c>
      <c r="F145" s="5" t="s">
        <v>643</v>
      </c>
      <c r="G145" s="5" t="s">
        <v>310</v>
      </c>
      <c r="H145" s="5" t="s">
        <v>34</v>
      </c>
      <c r="I145" s="4">
        <v>1.0</v>
      </c>
      <c r="J145" s="4">
        <v>38.93089459</v>
      </c>
      <c r="K145" s="4">
        <v>-77.02825539</v>
      </c>
      <c r="L145" s="4">
        <v>0.0</v>
      </c>
      <c r="M145" s="4">
        <v>1.0</v>
      </c>
      <c r="N145" s="4">
        <v>0.0</v>
      </c>
      <c r="O145" s="4">
        <v>0.0</v>
      </c>
      <c r="P145" s="4">
        <v>0.0</v>
      </c>
      <c r="Q145" s="5"/>
      <c r="R145" s="4">
        <v>218168.0</v>
      </c>
      <c r="S145" s="4">
        <v>397550.08</v>
      </c>
      <c r="T145" s="4">
        <v>140335.2</v>
      </c>
      <c r="U145" s="5" t="s">
        <v>644</v>
      </c>
      <c r="V145" s="5" t="s">
        <v>36</v>
      </c>
      <c r="W145" s="4">
        <v>0.0</v>
      </c>
      <c r="X145" s="4">
        <v>0.0</v>
      </c>
      <c r="Y145" s="4">
        <v>1.0</v>
      </c>
      <c r="Z145" s="4">
        <v>1.0</v>
      </c>
      <c r="AA145" s="4">
        <v>13.0</v>
      </c>
      <c r="AB145" s="4">
        <v>14.0</v>
      </c>
      <c r="AC145" s="5"/>
      <c r="AD145" s="5"/>
      <c r="AE145" s="7" t="s">
        <v>312</v>
      </c>
    </row>
    <row r="146">
      <c r="A146" s="4">
        <v>-8574534.3454</v>
      </c>
      <c r="B146" s="4">
        <v>4713630.0317</v>
      </c>
      <c r="C146" s="4">
        <v>361976.0</v>
      </c>
      <c r="D146" s="5" t="s">
        <v>51</v>
      </c>
      <c r="E146" s="5" t="s">
        <v>645</v>
      </c>
      <c r="F146" s="5" t="s">
        <v>646</v>
      </c>
      <c r="G146" s="5" t="s">
        <v>33</v>
      </c>
      <c r="H146" s="5" t="s">
        <v>34</v>
      </c>
      <c r="I146" s="4">
        <v>2.0</v>
      </c>
      <c r="J146" s="4">
        <v>38.94382501</v>
      </c>
      <c r="K146" s="4">
        <v>-77.02629271</v>
      </c>
      <c r="L146" s="4">
        <v>0.0</v>
      </c>
      <c r="M146" s="4">
        <v>1.0</v>
      </c>
      <c r="N146" s="4">
        <v>0.0</v>
      </c>
      <c r="O146" s="4">
        <v>1.0</v>
      </c>
      <c r="P146" s="4">
        <v>0.0</v>
      </c>
      <c r="Q146" s="5"/>
      <c r="R146" s="4">
        <v>252606.0</v>
      </c>
      <c r="S146" s="4">
        <v>397715.68</v>
      </c>
      <c r="T146" s="4">
        <v>141771.15</v>
      </c>
      <c r="U146" s="5" t="s">
        <v>647</v>
      </c>
      <c r="V146" s="5" t="s">
        <v>36</v>
      </c>
      <c r="W146" s="4">
        <v>0.0</v>
      </c>
      <c r="X146" s="4">
        <v>0.0</v>
      </c>
      <c r="Y146" s="4">
        <v>2.0</v>
      </c>
      <c r="Z146" s="4">
        <v>2.0</v>
      </c>
      <c r="AA146" s="4">
        <v>12.0</v>
      </c>
      <c r="AB146" s="4">
        <v>14.0</v>
      </c>
      <c r="AC146" s="5" t="s">
        <v>648</v>
      </c>
      <c r="AD146" s="5"/>
      <c r="AE146" s="7" t="s">
        <v>50</v>
      </c>
    </row>
    <row r="147">
      <c r="A147" s="4">
        <v>-8569701.6556</v>
      </c>
      <c r="B147" s="4">
        <v>4707547.3736</v>
      </c>
      <c r="C147" s="4">
        <v>361977.0</v>
      </c>
      <c r="D147" s="5" t="s">
        <v>56</v>
      </c>
      <c r="E147" s="5" t="s">
        <v>649</v>
      </c>
      <c r="F147" s="5" t="s">
        <v>650</v>
      </c>
      <c r="G147" s="5" t="s">
        <v>33</v>
      </c>
      <c r="H147" s="5" t="s">
        <v>34</v>
      </c>
      <c r="I147" s="4">
        <v>3.0</v>
      </c>
      <c r="J147" s="4">
        <v>38.90130746</v>
      </c>
      <c r="K147" s="4">
        <v>-76.98300079</v>
      </c>
      <c r="L147" s="4">
        <v>0.0</v>
      </c>
      <c r="M147" s="4">
        <v>0.0</v>
      </c>
      <c r="N147" s="4">
        <v>3.0</v>
      </c>
      <c r="O147" s="4">
        <v>0.0</v>
      </c>
      <c r="P147" s="4">
        <v>0.0</v>
      </c>
      <c r="Q147" s="5"/>
      <c r="R147" s="4">
        <v>80503.0</v>
      </c>
      <c r="S147" s="4">
        <v>401480.04</v>
      </c>
      <c r="T147" s="4">
        <v>137051.9</v>
      </c>
      <c r="U147" s="5" t="s">
        <v>651</v>
      </c>
      <c r="V147" s="5" t="s">
        <v>36</v>
      </c>
      <c r="W147" s="4">
        <v>0.0</v>
      </c>
      <c r="X147" s="4">
        <v>0.0</v>
      </c>
      <c r="Y147" s="4">
        <v>3.0</v>
      </c>
      <c r="Z147" s="4">
        <v>3.0</v>
      </c>
      <c r="AA147" s="4">
        <v>29.0</v>
      </c>
      <c r="AB147" s="4">
        <v>32.0</v>
      </c>
      <c r="AC147" s="5" t="s">
        <v>652</v>
      </c>
      <c r="AD147" s="5"/>
      <c r="AE147" s="7" t="s">
        <v>50</v>
      </c>
    </row>
    <row r="148">
      <c r="A148" s="4">
        <v>-8569282.8782</v>
      </c>
      <c r="B148" s="4">
        <v>4712063.7921</v>
      </c>
      <c r="C148" s="4">
        <v>361979.0</v>
      </c>
      <c r="D148" s="5" t="s">
        <v>56</v>
      </c>
      <c r="E148" s="5" t="s">
        <v>653</v>
      </c>
      <c r="F148" s="5" t="s">
        <v>654</v>
      </c>
      <c r="G148" s="5" t="s">
        <v>33</v>
      </c>
      <c r="H148" s="5" t="s">
        <v>34</v>
      </c>
      <c r="I148" s="4">
        <v>1.0</v>
      </c>
      <c r="J148" s="4">
        <v>38.93288638</v>
      </c>
      <c r="K148" s="4">
        <v>-76.97917556</v>
      </c>
      <c r="L148" s="4">
        <v>0.0</v>
      </c>
      <c r="M148" s="4">
        <v>1.0</v>
      </c>
      <c r="N148" s="4">
        <v>0.0</v>
      </c>
      <c r="O148" s="4">
        <v>0.0</v>
      </c>
      <c r="P148" s="4">
        <v>0.0</v>
      </c>
      <c r="Q148" s="5"/>
      <c r="R148" s="4">
        <v>318404.0</v>
      </c>
      <c r="S148" s="4">
        <v>401805.56</v>
      </c>
      <c r="T148" s="4">
        <v>140556.17</v>
      </c>
      <c r="U148" s="5" t="s">
        <v>655</v>
      </c>
      <c r="V148" s="5" t="s">
        <v>36</v>
      </c>
      <c r="W148" s="4">
        <v>0.0</v>
      </c>
      <c r="X148" s="4">
        <v>0.0</v>
      </c>
      <c r="Y148" s="4">
        <v>1.0</v>
      </c>
      <c r="Z148" s="4">
        <v>1.0</v>
      </c>
      <c r="AA148" s="4">
        <v>5.0</v>
      </c>
      <c r="AB148" s="4">
        <v>6.0</v>
      </c>
      <c r="AC148" s="5" t="s">
        <v>567</v>
      </c>
      <c r="AD148" s="5"/>
      <c r="AE148" s="7" t="s">
        <v>50</v>
      </c>
    </row>
    <row r="149">
      <c r="A149" s="4">
        <v>-8570773.7124</v>
      </c>
      <c r="B149" s="4">
        <v>4712352.0991</v>
      </c>
      <c r="C149" s="4">
        <v>361980.0</v>
      </c>
      <c r="D149" s="5" t="s">
        <v>56</v>
      </c>
      <c r="E149" s="5" t="s">
        <v>656</v>
      </c>
      <c r="F149" s="5" t="s">
        <v>657</v>
      </c>
      <c r="G149" s="5" t="s">
        <v>33</v>
      </c>
      <c r="H149" s="5" t="s">
        <v>34</v>
      </c>
      <c r="I149" s="4">
        <v>2.0</v>
      </c>
      <c r="J149" s="4">
        <v>38.93490133</v>
      </c>
      <c r="K149" s="4">
        <v>-76.99256794</v>
      </c>
      <c r="L149" s="4">
        <v>0.0</v>
      </c>
      <c r="M149" s="4">
        <v>0.0</v>
      </c>
      <c r="N149" s="4">
        <v>2.0</v>
      </c>
      <c r="O149" s="4">
        <v>0.0</v>
      </c>
      <c r="P149" s="4">
        <v>0.0</v>
      </c>
      <c r="Q149" s="5"/>
      <c r="R149" s="4">
        <v>285746.0</v>
      </c>
      <c r="S149" s="4">
        <v>400644.37</v>
      </c>
      <c r="T149" s="4">
        <v>140779.63</v>
      </c>
      <c r="U149" s="5" t="s">
        <v>658</v>
      </c>
      <c r="V149" s="5" t="s">
        <v>36</v>
      </c>
      <c r="W149" s="4">
        <v>0.0</v>
      </c>
      <c r="X149" s="4">
        <v>0.0</v>
      </c>
      <c r="Y149" s="4">
        <v>2.0</v>
      </c>
      <c r="Z149" s="4">
        <v>2.0</v>
      </c>
      <c r="AA149" s="4">
        <v>16.0</v>
      </c>
      <c r="AB149" s="4">
        <v>18.0</v>
      </c>
      <c r="AC149" s="5" t="s">
        <v>659</v>
      </c>
      <c r="AD149" s="5"/>
      <c r="AE149" s="7" t="s">
        <v>50</v>
      </c>
    </row>
    <row r="150">
      <c r="A150" s="4">
        <v>-8574433.7367</v>
      </c>
      <c r="B150" s="4">
        <v>4713123.7244</v>
      </c>
      <c r="C150" s="4">
        <v>361981.0</v>
      </c>
      <c r="D150" s="5" t="s">
        <v>51</v>
      </c>
      <c r="E150" s="5" t="s">
        <v>660</v>
      </c>
      <c r="F150" s="5" t="s">
        <v>661</v>
      </c>
      <c r="G150" s="5" t="s">
        <v>33</v>
      </c>
      <c r="H150" s="5" t="s">
        <v>34</v>
      </c>
      <c r="I150" s="4">
        <v>1.0</v>
      </c>
      <c r="J150" s="4">
        <v>38.94030092</v>
      </c>
      <c r="K150" s="4">
        <v>-77.02541304</v>
      </c>
      <c r="L150" s="4">
        <v>0.0</v>
      </c>
      <c r="M150" s="4">
        <v>1.0</v>
      </c>
      <c r="N150" s="4">
        <v>0.0</v>
      </c>
      <c r="O150" s="4">
        <v>0.0</v>
      </c>
      <c r="P150" s="4">
        <v>0.0</v>
      </c>
      <c r="Q150" s="5"/>
      <c r="R150" s="4">
        <v>224857.0</v>
      </c>
      <c r="S150" s="4">
        <v>397793.92</v>
      </c>
      <c r="T150" s="4">
        <v>141378.43</v>
      </c>
      <c r="U150" s="5" t="s">
        <v>662</v>
      </c>
      <c r="V150" s="5" t="s">
        <v>36</v>
      </c>
      <c r="W150" s="4">
        <v>0.0</v>
      </c>
      <c r="X150" s="4">
        <v>0.0</v>
      </c>
      <c r="Y150" s="4">
        <v>1.0</v>
      </c>
      <c r="Z150" s="4">
        <v>1.0</v>
      </c>
      <c r="AA150" s="4">
        <v>9.0</v>
      </c>
      <c r="AB150" s="4">
        <v>10.0</v>
      </c>
      <c r="AC150" s="5" t="s">
        <v>663</v>
      </c>
      <c r="AD150" s="5"/>
      <c r="AE150" s="7" t="s">
        <v>50</v>
      </c>
    </row>
    <row r="151">
      <c r="A151" s="4">
        <v>-8568045.4349</v>
      </c>
      <c r="B151" s="4">
        <v>4702827.1613</v>
      </c>
      <c r="C151" s="4">
        <v>361982.0</v>
      </c>
      <c r="D151" s="5" t="s">
        <v>30</v>
      </c>
      <c r="E151" s="5" t="s">
        <v>664</v>
      </c>
      <c r="F151" s="5" t="s">
        <v>665</v>
      </c>
      <c r="G151" s="5" t="s">
        <v>33</v>
      </c>
      <c r="H151" s="5" t="s">
        <v>34</v>
      </c>
      <c r="I151" s="4">
        <v>1.0</v>
      </c>
      <c r="J151" s="4">
        <v>38.86830817</v>
      </c>
      <c r="K151" s="4">
        <v>-76.96803096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5"/>
      <c r="R151" s="4">
        <v>318560.0</v>
      </c>
      <c r="S151" s="4">
        <v>402771.88</v>
      </c>
      <c r="T151" s="4">
        <v>133388.28</v>
      </c>
      <c r="U151" s="5" t="s">
        <v>666</v>
      </c>
      <c r="V151" s="5" t="s">
        <v>36</v>
      </c>
      <c r="W151" s="4">
        <v>0.0</v>
      </c>
      <c r="X151" s="4">
        <v>0.0</v>
      </c>
      <c r="Y151" s="4">
        <v>1.0</v>
      </c>
      <c r="Z151" s="4">
        <v>1.0</v>
      </c>
      <c r="AA151" s="4">
        <v>7.0</v>
      </c>
      <c r="AB151" s="4">
        <v>8.0</v>
      </c>
      <c r="AC151" s="5" t="s">
        <v>667</v>
      </c>
      <c r="AD151" s="5"/>
      <c r="AE151" s="7" t="s">
        <v>50</v>
      </c>
    </row>
    <row r="152">
      <c r="A152" s="4">
        <v>-8569079.8383</v>
      </c>
      <c r="B152" s="4">
        <v>4707608.3551</v>
      </c>
      <c r="C152" s="4">
        <v>361983.0</v>
      </c>
      <c r="D152" s="5" t="s">
        <v>56</v>
      </c>
      <c r="E152" s="5" t="s">
        <v>668</v>
      </c>
      <c r="F152" s="5" t="s">
        <v>669</v>
      </c>
      <c r="G152" s="5" t="s">
        <v>33</v>
      </c>
      <c r="H152" s="5" t="s">
        <v>34</v>
      </c>
      <c r="I152" s="4">
        <v>1.0</v>
      </c>
      <c r="J152" s="4">
        <v>38.90170764</v>
      </c>
      <c r="K152" s="4">
        <v>-76.97733042</v>
      </c>
      <c r="L152" s="4">
        <v>0.0</v>
      </c>
      <c r="M152" s="4">
        <v>1.0</v>
      </c>
      <c r="N152" s="4">
        <v>0.0</v>
      </c>
      <c r="O152" s="4">
        <v>0.0</v>
      </c>
      <c r="P152" s="4">
        <v>0.0</v>
      </c>
      <c r="Q152" s="5"/>
      <c r="R152" s="4">
        <v>55790.0</v>
      </c>
      <c r="S152" s="4">
        <v>401964.56</v>
      </c>
      <c r="T152" s="4">
        <v>137099.33</v>
      </c>
      <c r="U152" s="5" t="s">
        <v>670</v>
      </c>
      <c r="V152" s="5" t="s">
        <v>36</v>
      </c>
      <c r="W152" s="4">
        <v>0.0</v>
      </c>
      <c r="X152" s="4">
        <v>0.0</v>
      </c>
      <c r="Y152" s="4">
        <v>1.0</v>
      </c>
      <c r="Z152" s="4">
        <v>1.0</v>
      </c>
      <c r="AA152" s="4">
        <v>13.0</v>
      </c>
      <c r="AB152" s="4">
        <v>14.0</v>
      </c>
      <c r="AC152" s="5" t="s">
        <v>671</v>
      </c>
      <c r="AD152" s="5"/>
      <c r="AE152" s="7" t="s">
        <v>50</v>
      </c>
    </row>
    <row r="153">
      <c r="A153" s="4">
        <v>-8569898.1412</v>
      </c>
      <c r="B153" s="4">
        <v>4710815.006</v>
      </c>
      <c r="C153" s="4">
        <v>361984.0</v>
      </c>
      <c r="D153" s="5" t="s">
        <v>56</v>
      </c>
      <c r="E153" s="5" t="s">
        <v>672</v>
      </c>
      <c r="F153" s="5" t="s">
        <v>673</v>
      </c>
      <c r="G153" s="5" t="s">
        <v>33</v>
      </c>
      <c r="H153" s="5" t="s">
        <v>34</v>
      </c>
      <c r="I153" s="4">
        <v>9.0</v>
      </c>
      <c r="J153" s="4">
        <v>38.92430306</v>
      </c>
      <c r="K153" s="4">
        <v>-76.9848807</v>
      </c>
      <c r="L153" s="4">
        <v>0.0</v>
      </c>
      <c r="M153" s="4">
        <v>0.0</v>
      </c>
      <c r="N153" s="4">
        <v>9.0</v>
      </c>
      <c r="O153" s="4">
        <v>0.0</v>
      </c>
      <c r="P153" s="4">
        <v>0.0</v>
      </c>
      <c r="Q153" s="5"/>
      <c r="R153" s="4">
        <v>286125.0</v>
      </c>
      <c r="S153" s="4">
        <v>401326.51</v>
      </c>
      <c r="T153" s="4">
        <v>139587.32</v>
      </c>
      <c r="U153" s="5" t="s">
        <v>674</v>
      </c>
      <c r="V153" s="5" t="s">
        <v>36</v>
      </c>
      <c r="W153" s="4">
        <v>0.0</v>
      </c>
      <c r="X153" s="4">
        <v>0.0</v>
      </c>
      <c r="Y153" s="4">
        <v>9.0</v>
      </c>
      <c r="Z153" s="4">
        <v>9.0</v>
      </c>
      <c r="AA153" s="4">
        <v>99.0</v>
      </c>
      <c r="AB153" s="4">
        <v>108.0</v>
      </c>
      <c r="AC153" s="5" t="s">
        <v>675</v>
      </c>
      <c r="AD153" s="5"/>
      <c r="AE153" s="7" t="s">
        <v>50</v>
      </c>
    </row>
    <row r="154">
      <c r="A154" s="4">
        <v>-8571595.256</v>
      </c>
      <c r="B154" s="4">
        <v>4710271.4185</v>
      </c>
      <c r="C154" s="4">
        <v>361985.0</v>
      </c>
      <c r="D154" s="5" t="s">
        <v>56</v>
      </c>
      <c r="E154" s="5" t="s">
        <v>676</v>
      </c>
      <c r="F154" s="5" t="s">
        <v>677</v>
      </c>
      <c r="G154" s="5" t="s">
        <v>33</v>
      </c>
      <c r="H154" s="5" t="s">
        <v>34</v>
      </c>
      <c r="I154" s="4">
        <v>5.0</v>
      </c>
      <c r="J154" s="4">
        <v>38.92024405</v>
      </c>
      <c r="K154" s="4">
        <v>-76.99999931</v>
      </c>
      <c r="L154" s="4">
        <v>0.0</v>
      </c>
      <c r="M154" s="4">
        <v>0.0</v>
      </c>
      <c r="N154" s="4">
        <v>5.0</v>
      </c>
      <c r="O154" s="4">
        <v>0.0</v>
      </c>
      <c r="P154" s="4">
        <v>0.0</v>
      </c>
      <c r="Q154" s="5"/>
      <c r="R154" s="4">
        <v>288105.0</v>
      </c>
      <c r="S154" s="4">
        <v>400004.51</v>
      </c>
      <c r="T154" s="4">
        <v>139165.48</v>
      </c>
      <c r="U154" s="5" t="s">
        <v>678</v>
      </c>
      <c r="V154" s="5" t="s">
        <v>36</v>
      </c>
      <c r="W154" s="4">
        <v>0.0</v>
      </c>
      <c r="X154" s="4">
        <v>0.0</v>
      </c>
      <c r="Y154" s="4">
        <v>5.0</v>
      </c>
      <c r="Z154" s="4">
        <v>5.0</v>
      </c>
      <c r="AA154" s="4">
        <v>69.0</v>
      </c>
      <c r="AB154" s="4">
        <v>74.0</v>
      </c>
      <c r="AC154" s="5" t="s">
        <v>679</v>
      </c>
      <c r="AD154" s="5"/>
      <c r="AE154" s="7" t="s">
        <v>50</v>
      </c>
    </row>
    <row r="155">
      <c r="A155" s="4">
        <v>-8574235.6819</v>
      </c>
      <c r="B155" s="4">
        <v>4710023.4389</v>
      </c>
      <c r="C155" s="4">
        <v>361986.0</v>
      </c>
      <c r="D155" s="5" t="s">
        <v>114</v>
      </c>
      <c r="E155" s="5" t="s">
        <v>680</v>
      </c>
      <c r="F155" s="5" t="s">
        <v>681</v>
      </c>
      <c r="G155" s="5" t="s">
        <v>33</v>
      </c>
      <c r="H155" s="5" t="s">
        <v>34</v>
      </c>
      <c r="I155" s="4">
        <v>26.0</v>
      </c>
      <c r="J155" s="4">
        <v>38.91890437</v>
      </c>
      <c r="K155" s="4">
        <v>-77.02364229</v>
      </c>
      <c r="L155" s="4">
        <v>0.0</v>
      </c>
      <c r="M155" s="4">
        <v>1.0</v>
      </c>
      <c r="N155" s="4">
        <v>25.0</v>
      </c>
      <c r="O155" s="4">
        <v>0.0</v>
      </c>
      <c r="P155" s="4">
        <v>0.0</v>
      </c>
      <c r="Q155" s="5"/>
      <c r="R155" s="4">
        <v>284242.0</v>
      </c>
      <c r="S155" s="4">
        <v>397947.54</v>
      </c>
      <c r="T155" s="4">
        <v>138973.35</v>
      </c>
      <c r="U155" s="5" t="s">
        <v>682</v>
      </c>
      <c r="V155" s="5" t="s">
        <v>36</v>
      </c>
      <c r="W155" s="4">
        <v>0.0</v>
      </c>
      <c r="X155" s="4">
        <v>0.0</v>
      </c>
      <c r="Y155" s="4">
        <v>26.0</v>
      </c>
      <c r="Z155" s="4">
        <v>26.0</v>
      </c>
      <c r="AA155" s="4">
        <v>286.0</v>
      </c>
      <c r="AB155" s="4">
        <v>312.0</v>
      </c>
      <c r="AC155" s="5" t="s">
        <v>683</v>
      </c>
      <c r="AD155" s="5"/>
      <c r="AE155" s="7" t="s">
        <v>50</v>
      </c>
    </row>
    <row r="156">
      <c r="A156" s="4">
        <v>-8568309.7253</v>
      </c>
      <c r="B156" s="4">
        <v>4703720.7381</v>
      </c>
      <c r="C156" s="4">
        <v>361987.0</v>
      </c>
      <c r="D156" s="5" t="s">
        <v>30</v>
      </c>
      <c r="E156" s="5" t="s">
        <v>684</v>
      </c>
      <c r="F156" s="5" t="s">
        <v>685</v>
      </c>
      <c r="G156" s="5" t="s">
        <v>33</v>
      </c>
      <c r="H156" s="5" t="s">
        <v>34</v>
      </c>
      <c r="I156" s="4">
        <v>2.0</v>
      </c>
      <c r="J156" s="4">
        <v>38.8745645</v>
      </c>
      <c r="K156" s="4">
        <v>-76.97040004</v>
      </c>
      <c r="L156" s="4">
        <v>0.0</v>
      </c>
      <c r="M156" s="4">
        <v>0.0</v>
      </c>
      <c r="N156" s="4">
        <v>2.0</v>
      </c>
      <c r="O156" s="4">
        <v>0.0</v>
      </c>
      <c r="P156" s="4">
        <v>0.0</v>
      </c>
      <c r="Q156" s="5"/>
      <c r="R156" s="4">
        <v>287085.0</v>
      </c>
      <c r="S156" s="4">
        <v>402565.62</v>
      </c>
      <c r="T156" s="4">
        <v>134081.96</v>
      </c>
      <c r="U156" s="5" t="s">
        <v>686</v>
      </c>
      <c r="V156" s="5" t="s">
        <v>36</v>
      </c>
      <c r="W156" s="4">
        <v>0.0</v>
      </c>
      <c r="X156" s="4">
        <v>0.0</v>
      </c>
      <c r="Y156" s="4">
        <v>2.0</v>
      </c>
      <c r="Z156" s="4">
        <v>2.0</v>
      </c>
      <c r="AA156" s="4">
        <v>14.0</v>
      </c>
      <c r="AB156" s="4">
        <v>16.0</v>
      </c>
      <c r="AC156" s="5" t="s">
        <v>687</v>
      </c>
      <c r="AD156" s="5"/>
      <c r="AE156" s="7" t="s">
        <v>50</v>
      </c>
    </row>
    <row r="157">
      <c r="A157" s="4">
        <v>-8572751.529</v>
      </c>
      <c r="B157" s="4">
        <v>4702752.9531</v>
      </c>
      <c r="C157" s="4">
        <v>361988.0</v>
      </c>
      <c r="D157" s="5" t="s">
        <v>39</v>
      </c>
      <c r="E157" s="5" t="s">
        <v>688</v>
      </c>
      <c r="F157" s="5" t="s">
        <v>689</v>
      </c>
      <c r="G157" s="5" t="s">
        <v>33</v>
      </c>
      <c r="H157" s="5" t="s">
        <v>34</v>
      </c>
      <c r="I157" s="4">
        <v>27.0</v>
      </c>
      <c r="J157" s="4">
        <v>38.8680031</v>
      </c>
      <c r="K157" s="4">
        <v>-77.01036934</v>
      </c>
      <c r="L157" s="4">
        <v>0.0</v>
      </c>
      <c r="M157" s="4">
        <v>1.0</v>
      </c>
      <c r="N157" s="4">
        <v>26.0</v>
      </c>
      <c r="O157" s="4">
        <v>0.0</v>
      </c>
      <c r="P157" s="4">
        <v>0.0</v>
      </c>
      <c r="Q157" s="5"/>
      <c r="R157" s="4">
        <v>306684.0</v>
      </c>
      <c r="S157" s="4">
        <v>399103.1</v>
      </c>
      <c r="T157" s="4">
        <v>133330.23</v>
      </c>
      <c r="U157" s="5" t="s">
        <v>690</v>
      </c>
      <c r="V157" s="5" t="s">
        <v>36</v>
      </c>
      <c r="W157" s="4">
        <v>0.0</v>
      </c>
      <c r="X157" s="4">
        <v>0.0</v>
      </c>
      <c r="Y157" s="4">
        <v>27.0</v>
      </c>
      <c r="Z157" s="4">
        <v>27.0</v>
      </c>
      <c r="AA157" s="4">
        <v>317.0</v>
      </c>
      <c r="AB157" s="4">
        <v>344.0</v>
      </c>
      <c r="AC157" s="5" t="s">
        <v>641</v>
      </c>
      <c r="AD157" s="5"/>
      <c r="AE157" s="7" t="s">
        <v>50</v>
      </c>
    </row>
    <row r="158">
      <c r="A158" s="4">
        <v>-8574732.7392</v>
      </c>
      <c r="B158" s="4">
        <v>4718316.5162</v>
      </c>
      <c r="C158" s="4">
        <v>361990.0</v>
      </c>
      <c r="D158" s="5" t="s">
        <v>51</v>
      </c>
      <c r="E158" s="5" t="s">
        <v>691</v>
      </c>
      <c r="F158" s="5" t="s">
        <v>692</v>
      </c>
      <c r="G158" s="5" t="s">
        <v>33</v>
      </c>
      <c r="H158" s="5" t="s">
        <v>501</v>
      </c>
      <c r="I158" s="4">
        <v>32.0</v>
      </c>
      <c r="J158" s="4">
        <v>38.97656593</v>
      </c>
      <c r="K158" s="4">
        <v>-77.02813247</v>
      </c>
      <c r="L158" s="4">
        <v>0.0</v>
      </c>
      <c r="M158" s="4">
        <v>2.0</v>
      </c>
      <c r="N158" s="4">
        <v>0.0</v>
      </c>
      <c r="O158" s="4">
        <v>30.0</v>
      </c>
      <c r="P158" s="4">
        <v>0.0</v>
      </c>
      <c r="Q158" s="5"/>
      <c r="R158" s="4">
        <v>334712.0</v>
      </c>
      <c r="S158" s="4">
        <v>397562.3</v>
      </c>
      <c r="T158" s="4">
        <v>145405.17</v>
      </c>
      <c r="U158" s="5" t="s">
        <v>693</v>
      </c>
      <c r="V158" s="5" t="s">
        <v>36</v>
      </c>
      <c r="W158" s="4">
        <v>0.0</v>
      </c>
      <c r="X158" s="4">
        <v>0.0</v>
      </c>
      <c r="Y158" s="4">
        <v>32.0</v>
      </c>
      <c r="Z158" s="4">
        <v>32.0</v>
      </c>
      <c r="AA158" s="4">
        <v>291.0</v>
      </c>
      <c r="AB158" s="4">
        <v>323.0</v>
      </c>
      <c r="AC158" s="5" t="s">
        <v>245</v>
      </c>
      <c r="AD158" s="5"/>
      <c r="AE158" s="7" t="s">
        <v>50</v>
      </c>
    </row>
    <row r="159">
      <c r="A159" s="4">
        <v>-8571076.4713</v>
      </c>
      <c r="B159" s="4">
        <v>4706495.7669</v>
      </c>
      <c r="C159" s="4">
        <v>361992.0</v>
      </c>
      <c r="D159" s="5" t="s">
        <v>39</v>
      </c>
      <c r="E159" s="5" t="s">
        <v>694</v>
      </c>
      <c r="F159" s="5" t="s">
        <v>695</v>
      </c>
      <c r="G159" s="5" t="s">
        <v>33</v>
      </c>
      <c r="H159" s="5" t="s">
        <v>34</v>
      </c>
      <c r="I159" s="4">
        <v>5.0</v>
      </c>
      <c r="J159" s="4">
        <v>38.89396726</v>
      </c>
      <c r="K159" s="4">
        <v>-76.99528767</v>
      </c>
      <c r="L159" s="4">
        <v>0.0</v>
      </c>
      <c r="M159" s="4">
        <v>1.0</v>
      </c>
      <c r="N159" s="4">
        <v>0.0</v>
      </c>
      <c r="O159" s="4">
        <v>4.0</v>
      </c>
      <c r="P159" s="4">
        <v>0.0</v>
      </c>
      <c r="Q159" s="5"/>
      <c r="R159" s="4">
        <v>42709.0</v>
      </c>
      <c r="S159" s="4">
        <v>400408.8</v>
      </c>
      <c r="T159" s="4">
        <v>136235.63</v>
      </c>
      <c r="U159" s="5" t="s">
        <v>696</v>
      </c>
      <c r="V159" s="5" t="s">
        <v>36</v>
      </c>
      <c r="W159" s="4">
        <v>0.0</v>
      </c>
      <c r="X159" s="4">
        <v>0.0</v>
      </c>
      <c r="Y159" s="4">
        <v>5.0</v>
      </c>
      <c r="Z159" s="4">
        <v>5.0</v>
      </c>
      <c r="AA159" s="4">
        <v>35.0</v>
      </c>
      <c r="AB159" s="4">
        <v>40.0</v>
      </c>
      <c r="AC159" s="5" t="s">
        <v>697</v>
      </c>
      <c r="AD159" s="5"/>
      <c r="AE159" s="7" t="s">
        <v>50</v>
      </c>
    </row>
    <row r="160">
      <c r="A160" s="4">
        <v>-8570168.9972</v>
      </c>
      <c r="B160" s="4">
        <v>4704242.8124</v>
      </c>
      <c r="C160" s="4">
        <v>361994.0</v>
      </c>
      <c r="D160" s="5" t="s">
        <v>39</v>
      </c>
      <c r="E160" s="5" t="s">
        <v>698</v>
      </c>
      <c r="F160" s="5" t="s">
        <v>699</v>
      </c>
      <c r="G160" s="5" t="s">
        <v>33</v>
      </c>
      <c r="H160" s="5" t="s">
        <v>34</v>
      </c>
      <c r="I160" s="4">
        <v>1.0</v>
      </c>
      <c r="J160" s="4">
        <v>38.87824153</v>
      </c>
      <c r="K160" s="4">
        <v>-76.98713834</v>
      </c>
      <c r="L160" s="4">
        <v>0.0</v>
      </c>
      <c r="M160" s="4">
        <v>1.0</v>
      </c>
      <c r="N160" s="4">
        <v>0.0</v>
      </c>
      <c r="O160" s="4">
        <v>0.0</v>
      </c>
      <c r="P160" s="4">
        <v>0.0</v>
      </c>
      <c r="Q160" s="5"/>
      <c r="R160" s="4">
        <v>67040.0</v>
      </c>
      <c r="S160" s="4">
        <v>401116.24</v>
      </c>
      <c r="T160" s="4">
        <v>134486.92</v>
      </c>
      <c r="U160" s="5" t="s">
        <v>700</v>
      </c>
      <c r="V160" s="5" t="s">
        <v>36</v>
      </c>
      <c r="W160" s="4">
        <v>0.0</v>
      </c>
      <c r="X160" s="4">
        <v>0.0</v>
      </c>
      <c r="Y160" s="4">
        <v>1.0</v>
      </c>
      <c r="Z160" s="4">
        <v>1.0</v>
      </c>
      <c r="AA160" s="4">
        <v>12.0</v>
      </c>
      <c r="AB160" s="4">
        <v>13.0</v>
      </c>
      <c r="AC160" s="5" t="s">
        <v>701</v>
      </c>
      <c r="AD160" s="5"/>
      <c r="AE160" s="7" t="s">
        <v>50</v>
      </c>
    </row>
    <row r="161">
      <c r="A161" s="4">
        <v>-8569449.0428</v>
      </c>
      <c r="B161" s="4">
        <v>4708038.3205</v>
      </c>
      <c r="C161" s="4">
        <v>361998.0</v>
      </c>
      <c r="D161" s="5" t="s">
        <v>56</v>
      </c>
      <c r="E161" s="5" t="s">
        <v>702</v>
      </c>
      <c r="F161" s="5" t="s">
        <v>703</v>
      </c>
      <c r="G161" s="5" t="s">
        <v>33</v>
      </c>
      <c r="H161" s="5" t="s">
        <v>34</v>
      </c>
      <c r="I161" s="4">
        <v>4.0</v>
      </c>
      <c r="J161" s="4">
        <v>38.90477812</v>
      </c>
      <c r="K161" s="4">
        <v>-76.98063687</v>
      </c>
      <c r="L161" s="4">
        <v>0.0</v>
      </c>
      <c r="M161" s="4">
        <v>1.0</v>
      </c>
      <c r="N161" s="4">
        <v>3.0</v>
      </c>
      <c r="O161" s="4">
        <v>0.0</v>
      </c>
      <c r="P161" s="4">
        <v>0.0</v>
      </c>
      <c r="Q161" s="5"/>
      <c r="R161" s="4">
        <v>73518.0</v>
      </c>
      <c r="S161" s="4">
        <v>401676.8</v>
      </c>
      <c r="T161" s="4">
        <v>137432.93</v>
      </c>
      <c r="U161" s="5" t="s">
        <v>704</v>
      </c>
      <c r="V161" s="5" t="s">
        <v>36</v>
      </c>
      <c r="W161" s="4">
        <v>0.0</v>
      </c>
      <c r="X161" s="4">
        <v>0.0</v>
      </c>
      <c r="Y161" s="4">
        <v>4.0</v>
      </c>
      <c r="Z161" s="4">
        <v>4.0</v>
      </c>
      <c r="AA161" s="4">
        <v>59.0</v>
      </c>
      <c r="AB161" s="4">
        <v>63.0</v>
      </c>
      <c r="AC161" s="5" t="s">
        <v>705</v>
      </c>
      <c r="AD161" s="5"/>
      <c r="AE161" s="7" t="s">
        <v>50</v>
      </c>
    </row>
    <row r="162">
      <c r="A162" s="4">
        <v>-8568990.5647</v>
      </c>
      <c r="B162" s="4">
        <v>4703461.0537</v>
      </c>
      <c r="C162" s="4">
        <v>362000.0</v>
      </c>
      <c r="D162" s="5" t="s">
        <v>45</v>
      </c>
      <c r="E162" s="5" t="s">
        <v>706</v>
      </c>
      <c r="F162" s="5" t="s">
        <v>707</v>
      </c>
      <c r="G162" s="5" t="s">
        <v>33</v>
      </c>
      <c r="H162" s="5" t="s">
        <v>34</v>
      </c>
      <c r="I162" s="4">
        <v>3.0</v>
      </c>
      <c r="J162" s="4">
        <v>38.87275917</v>
      </c>
      <c r="K162" s="4">
        <v>-76.97663885</v>
      </c>
      <c r="L162" s="4">
        <v>0.0</v>
      </c>
      <c r="M162" s="4">
        <v>0.0</v>
      </c>
      <c r="N162" s="4">
        <v>3.0</v>
      </c>
      <c r="O162" s="4">
        <v>0.0</v>
      </c>
      <c r="P162" s="4">
        <v>0.0</v>
      </c>
      <c r="Q162" s="5"/>
      <c r="R162" s="4">
        <v>53759.0</v>
      </c>
      <c r="S162" s="4">
        <v>402034.95</v>
      </c>
      <c r="T162" s="4">
        <v>133880.2</v>
      </c>
      <c r="U162" s="5" t="s">
        <v>708</v>
      </c>
      <c r="V162" s="5" t="s">
        <v>36</v>
      </c>
      <c r="W162" s="4">
        <v>0.0</v>
      </c>
      <c r="X162" s="4">
        <v>0.0</v>
      </c>
      <c r="Y162" s="4">
        <v>3.0</v>
      </c>
      <c r="Z162" s="4">
        <v>3.0</v>
      </c>
      <c r="AA162" s="4">
        <v>17.0</v>
      </c>
      <c r="AB162" s="4">
        <v>20.0</v>
      </c>
      <c r="AC162" s="5" t="s">
        <v>709</v>
      </c>
      <c r="AD162" s="5"/>
      <c r="AE162" s="7" t="s">
        <v>50</v>
      </c>
    </row>
    <row r="163">
      <c r="A163" s="4">
        <v>-8574770.6136</v>
      </c>
      <c r="B163" s="4">
        <v>4712534.3659</v>
      </c>
      <c r="C163" s="4">
        <v>362003.0</v>
      </c>
      <c r="D163" s="5" t="s">
        <v>51</v>
      </c>
      <c r="E163" s="5" t="s">
        <v>92</v>
      </c>
      <c r="F163" s="5" t="s">
        <v>710</v>
      </c>
      <c r="G163" s="5" t="s">
        <v>33</v>
      </c>
      <c r="H163" s="5" t="s">
        <v>81</v>
      </c>
      <c r="I163" s="4">
        <v>43.0</v>
      </c>
      <c r="J163" s="4">
        <v>38.93630084</v>
      </c>
      <c r="K163" s="4">
        <v>-77.02868418</v>
      </c>
      <c r="L163" s="4">
        <v>16.0</v>
      </c>
      <c r="M163" s="4">
        <v>27.0</v>
      </c>
      <c r="N163" s="4">
        <v>0.0</v>
      </c>
      <c r="O163" s="4">
        <v>0.0</v>
      </c>
      <c r="P163" s="4">
        <v>0.0</v>
      </c>
      <c r="Q163" s="5"/>
      <c r="R163" s="4">
        <v>283920.0</v>
      </c>
      <c r="S163" s="4">
        <v>397531.42</v>
      </c>
      <c r="T163" s="4">
        <v>140921.37</v>
      </c>
      <c r="U163" s="5" t="s">
        <v>94</v>
      </c>
      <c r="V163" s="5" t="s">
        <v>36</v>
      </c>
      <c r="W163" s="4">
        <v>0.0</v>
      </c>
      <c r="X163" s="4">
        <v>0.0</v>
      </c>
      <c r="Y163" s="4">
        <v>43.0</v>
      </c>
      <c r="Z163" s="4">
        <v>43.0</v>
      </c>
      <c r="AA163" s="4">
        <v>0.0</v>
      </c>
      <c r="AB163" s="4">
        <v>43.0</v>
      </c>
      <c r="AC163" s="5" t="s">
        <v>95</v>
      </c>
      <c r="AD163" s="5"/>
      <c r="AE163" s="7" t="s">
        <v>50</v>
      </c>
    </row>
    <row r="164">
      <c r="A164" s="4">
        <v>-8571004.1294</v>
      </c>
      <c r="B164" s="4">
        <v>4696972.0835</v>
      </c>
      <c r="C164" s="4">
        <v>362004.0</v>
      </c>
      <c r="D164" s="5" t="s">
        <v>45</v>
      </c>
      <c r="E164" s="5" t="s">
        <v>711</v>
      </c>
      <c r="F164" s="5" t="s">
        <v>712</v>
      </c>
      <c r="G164" s="5" t="s">
        <v>33</v>
      </c>
      <c r="H164" s="5" t="s">
        <v>81</v>
      </c>
      <c r="I164" s="4">
        <v>336.0</v>
      </c>
      <c r="J164" s="4">
        <v>38.82735337</v>
      </c>
      <c r="K164" s="4">
        <v>-76.99461836</v>
      </c>
      <c r="L164" s="4">
        <v>10.0</v>
      </c>
      <c r="M164" s="4">
        <v>132.0</v>
      </c>
      <c r="N164" s="4">
        <v>171.0</v>
      </c>
      <c r="O164" s="4">
        <v>23.0</v>
      </c>
      <c r="P164" s="4">
        <v>0.0</v>
      </c>
      <c r="Q164" s="5"/>
      <c r="R164" s="4">
        <v>79579.0</v>
      </c>
      <c r="S164" s="4">
        <v>400465.61</v>
      </c>
      <c r="T164" s="4">
        <v>128840.59</v>
      </c>
      <c r="U164" s="5" t="s">
        <v>713</v>
      </c>
      <c r="V164" s="5" t="s">
        <v>36</v>
      </c>
      <c r="W164" s="4">
        <v>336.0</v>
      </c>
      <c r="X164" s="4">
        <v>0.0</v>
      </c>
      <c r="Y164" s="4">
        <v>0.0</v>
      </c>
      <c r="Z164" s="4">
        <v>0.0</v>
      </c>
      <c r="AA164" s="4">
        <v>22.0</v>
      </c>
      <c r="AB164" s="4">
        <v>358.0</v>
      </c>
      <c r="AC164" s="5" t="s">
        <v>714</v>
      </c>
      <c r="AD164" s="5"/>
      <c r="AE164" s="7" t="s">
        <v>50</v>
      </c>
    </row>
    <row r="165">
      <c r="A165" s="4">
        <v>-8569015.2869</v>
      </c>
      <c r="B165" s="4">
        <v>4707149.0982</v>
      </c>
      <c r="C165" s="4">
        <v>362005.0</v>
      </c>
      <c r="D165" s="5" t="s">
        <v>39</v>
      </c>
      <c r="E165" s="5" t="s">
        <v>715</v>
      </c>
      <c r="F165" s="5" t="s">
        <v>716</v>
      </c>
      <c r="G165" s="5" t="s">
        <v>33</v>
      </c>
      <c r="H165" s="5" t="s">
        <v>34</v>
      </c>
      <c r="I165" s="4">
        <v>1.0</v>
      </c>
      <c r="J165" s="4">
        <v>38.89851478</v>
      </c>
      <c r="K165" s="4">
        <v>-76.97676391</v>
      </c>
      <c r="L165" s="4">
        <v>0.0</v>
      </c>
      <c r="M165" s="4">
        <v>1.0</v>
      </c>
      <c r="N165" s="4">
        <v>0.0</v>
      </c>
      <c r="O165" s="4">
        <v>0.0</v>
      </c>
      <c r="P165" s="4">
        <v>0.0</v>
      </c>
      <c r="Q165" s="5"/>
      <c r="R165" s="4">
        <v>78556.0</v>
      </c>
      <c r="S165" s="4">
        <v>402014.95</v>
      </c>
      <c r="T165" s="4">
        <v>136742.93</v>
      </c>
      <c r="U165" s="5" t="s">
        <v>717</v>
      </c>
      <c r="V165" s="5" t="s">
        <v>36</v>
      </c>
      <c r="W165" s="4">
        <v>0.0</v>
      </c>
      <c r="X165" s="4">
        <v>0.0</v>
      </c>
      <c r="Y165" s="4">
        <v>1.0</v>
      </c>
      <c r="Z165" s="4">
        <v>1.0</v>
      </c>
      <c r="AA165" s="4">
        <v>9.0</v>
      </c>
      <c r="AB165" s="4">
        <v>10.0</v>
      </c>
      <c r="AC165" s="5" t="s">
        <v>718</v>
      </c>
      <c r="AD165" s="5"/>
      <c r="AE165" s="7" t="s">
        <v>50</v>
      </c>
    </row>
    <row r="166">
      <c r="A166" s="4">
        <v>-8570595.0626</v>
      </c>
      <c r="B166" s="4">
        <v>4712244.0633</v>
      </c>
      <c r="C166" s="4">
        <v>362006.0</v>
      </c>
      <c r="D166" s="5" t="s">
        <v>56</v>
      </c>
      <c r="E166" s="5" t="s">
        <v>719</v>
      </c>
      <c r="F166" s="5" t="s">
        <v>720</v>
      </c>
      <c r="G166" s="5" t="s">
        <v>33</v>
      </c>
      <c r="H166" s="5" t="s">
        <v>34</v>
      </c>
      <c r="I166" s="4">
        <v>2.0</v>
      </c>
      <c r="J166" s="4">
        <v>38.9341376</v>
      </c>
      <c r="K166" s="4">
        <v>-76.99091316</v>
      </c>
      <c r="L166" s="4">
        <v>0.0</v>
      </c>
      <c r="M166" s="4">
        <v>1.0</v>
      </c>
      <c r="N166" s="4">
        <v>0.0</v>
      </c>
      <c r="O166" s="4">
        <v>1.0</v>
      </c>
      <c r="P166" s="4">
        <v>0.0</v>
      </c>
      <c r="Q166" s="5"/>
      <c r="R166" s="4">
        <v>32672.0</v>
      </c>
      <c r="S166" s="4">
        <v>400783.52</v>
      </c>
      <c r="T166" s="4">
        <v>140695.84</v>
      </c>
      <c r="U166" s="5" t="s">
        <v>721</v>
      </c>
      <c r="V166" s="5" t="s">
        <v>36</v>
      </c>
      <c r="W166" s="4">
        <v>0.0</v>
      </c>
      <c r="X166" s="4">
        <v>0.0</v>
      </c>
      <c r="Y166" s="4">
        <v>2.0</v>
      </c>
      <c r="Z166" s="4">
        <v>2.0</v>
      </c>
      <c r="AA166" s="4">
        <v>12.0</v>
      </c>
      <c r="AB166" s="4">
        <v>14.0</v>
      </c>
      <c r="AC166" s="5" t="s">
        <v>722</v>
      </c>
      <c r="AD166" s="5"/>
      <c r="AE166" s="7" t="s">
        <v>50</v>
      </c>
    </row>
    <row r="167">
      <c r="A167" s="4">
        <v>-8574574.8367</v>
      </c>
      <c r="B167" s="4">
        <v>4708489.5442</v>
      </c>
      <c r="C167" s="4">
        <v>362007.0</v>
      </c>
      <c r="D167" s="5" t="s">
        <v>442</v>
      </c>
      <c r="E167" s="5" t="s">
        <v>723</v>
      </c>
      <c r="F167" s="5" t="s">
        <v>724</v>
      </c>
      <c r="G167" s="5" t="s">
        <v>33</v>
      </c>
      <c r="H167" s="5" t="s">
        <v>34</v>
      </c>
      <c r="I167" s="4">
        <v>1.0</v>
      </c>
      <c r="J167" s="4">
        <v>38.90790398</v>
      </c>
      <c r="K167" s="4">
        <v>-77.02675587</v>
      </c>
      <c r="L167" s="4">
        <v>0.0</v>
      </c>
      <c r="M167" s="4">
        <v>0.0</v>
      </c>
      <c r="N167" s="4">
        <v>0.0</v>
      </c>
      <c r="O167" s="4">
        <v>1.0</v>
      </c>
      <c r="P167" s="4">
        <v>0.0</v>
      </c>
      <c r="Q167" s="5"/>
      <c r="R167" s="4">
        <v>239303.0</v>
      </c>
      <c r="S167" s="4">
        <v>397682.98</v>
      </c>
      <c r="T167" s="4">
        <v>137783.24</v>
      </c>
      <c r="U167" s="5" t="s">
        <v>725</v>
      </c>
      <c r="V167" s="5" t="s">
        <v>36</v>
      </c>
      <c r="W167" s="4">
        <v>0.0</v>
      </c>
      <c r="X167" s="4">
        <v>0.0</v>
      </c>
      <c r="Y167" s="4">
        <v>1.0</v>
      </c>
      <c r="Z167" s="4">
        <v>1.0</v>
      </c>
      <c r="AA167" s="4">
        <v>8.0</v>
      </c>
      <c r="AB167" s="4">
        <v>9.0</v>
      </c>
      <c r="AC167" s="5" t="s">
        <v>726</v>
      </c>
      <c r="AD167" s="5"/>
      <c r="AE167" s="7" t="s">
        <v>50</v>
      </c>
    </row>
    <row r="168">
      <c r="A168" s="4">
        <v>-8574114.0288</v>
      </c>
      <c r="B168" s="4">
        <v>4715489.1758</v>
      </c>
      <c r="C168" s="4">
        <v>362008.0</v>
      </c>
      <c r="D168" s="5" t="s">
        <v>51</v>
      </c>
      <c r="E168" s="5" t="s">
        <v>727</v>
      </c>
      <c r="F168" s="5" t="s">
        <v>728</v>
      </c>
      <c r="G168" s="5" t="s">
        <v>33</v>
      </c>
      <c r="H168" s="5" t="s">
        <v>34</v>
      </c>
      <c r="I168" s="4">
        <v>3.0</v>
      </c>
      <c r="J168" s="4">
        <v>38.95681836</v>
      </c>
      <c r="K168" s="4">
        <v>-77.0225745</v>
      </c>
      <c r="L168" s="4">
        <v>0.0</v>
      </c>
      <c r="M168" s="4">
        <v>0.0</v>
      </c>
      <c r="N168" s="4">
        <v>3.0</v>
      </c>
      <c r="O168" s="4">
        <v>0.0</v>
      </c>
      <c r="P168" s="4">
        <v>0.0</v>
      </c>
      <c r="Q168" s="5"/>
      <c r="R168" s="4">
        <v>313214.0</v>
      </c>
      <c r="S168" s="4">
        <v>398043.36</v>
      </c>
      <c r="T168" s="4">
        <v>143212.87</v>
      </c>
      <c r="U168" s="5" t="s">
        <v>729</v>
      </c>
      <c r="V168" s="5" t="s">
        <v>36</v>
      </c>
      <c r="W168" s="4">
        <v>0.0</v>
      </c>
      <c r="X168" s="4">
        <v>0.0</v>
      </c>
      <c r="Y168" s="4">
        <v>3.0</v>
      </c>
      <c r="Z168" s="4">
        <v>3.0</v>
      </c>
      <c r="AA168" s="4">
        <v>27.0</v>
      </c>
      <c r="AB168" s="4">
        <v>30.0</v>
      </c>
      <c r="AC168" s="5" t="s">
        <v>730</v>
      </c>
      <c r="AD168" s="5"/>
      <c r="AE168" s="7" t="s">
        <v>50</v>
      </c>
    </row>
    <row r="169">
      <c r="A169" s="4">
        <v>-8573885.6386</v>
      </c>
      <c r="B169" s="4">
        <v>4712292.689</v>
      </c>
      <c r="C169" s="4">
        <v>362009.0</v>
      </c>
      <c r="D169" s="5" t="s">
        <v>114</v>
      </c>
      <c r="E169" s="5" t="s">
        <v>731</v>
      </c>
      <c r="F169" s="5" t="s">
        <v>732</v>
      </c>
      <c r="G169" s="5" t="s">
        <v>33</v>
      </c>
      <c r="H169" s="5" t="s">
        <v>34</v>
      </c>
      <c r="I169" s="4">
        <v>1.0</v>
      </c>
      <c r="J169" s="4">
        <v>38.9344704</v>
      </c>
      <c r="K169" s="4">
        <v>-77.02067358</v>
      </c>
      <c r="L169" s="4">
        <v>0.0</v>
      </c>
      <c r="M169" s="4">
        <v>0.0</v>
      </c>
      <c r="N169" s="4">
        <v>0.0</v>
      </c>
      <c r="O169" s="4">
        <v>1.0</v>
      </c>
      <c r="P169" s="4">
        <v>0.0</v>
      </c>
      <c r="Q169" s="5"/>
      <c r="R169" s="4">
        <v>228685.0</v>
      </c>
      <c r="S169" s="4">
        <v>398220.63</v>
      </c>
      <c r="T169" s="4">
        <v>140733.72</v>
      </c>
      <c r="U169" s="5" t="s">
        <v>733</v>
      </c>
      <c r="V169" s="5" t="s">
        <v>36</v>
      </c>
      <c r="W169" s="4">
        <v>0.0</v>
      </c>
      <c r="X169" s="4">
        <v>0.0</v>
      </c>
      <c r="Y169" s="4">
        <v>1.0</v>
      </c>
      <c r="Z169" s="4">
        <v>1.0</v>
      </c>
      <c r="AA169" s="4">
        <v>4.0</v>
      </c>
      <c r="AB169" s="4">
        <v>5.0</v>
      </c>
      <c r="AC169" s="5" t="s">
        <v>734</v>
      </c>
      <c r="AD169" s="5"/>
      <c r="AE169" s="7" t="s">
        <v>50</v>
      </c>
    </row>
    <row r="170">
      <c r="A170" s="4">
        <v>-8570223.6897</v>
      </c>
      <c r="B170" s="4">
        <v>4700809.3231</v>
      </c>
      <c r="C170" s="4">
        <v>362010.0</v>
      </c>
      <c r="D170" s="5" t="s">
        <v>45</v>
      </c>
      <c r="E170" s="5" t="s">
        <v>735</v>
      </c>
      <c r="F170" s="5" t="s">
        <v>736</v>
      </c>
      <c r="G170" s="5" t="s">
        <v>33</v>
      </c>
      <c r="H170" s="5" t="s">
        <v>34</v>
      </c>
      <c r="I170" s="4">
        <v>1.0</v>
      </c>
      <c r="J170" s="4">
        <v>38.85423183</v>
      </c>
      <c r="K170" s="4">
        <v>-76.98765972</v>
      </c>
      <c r="L170" s="4">
        <v>0.0</v>
      </c>
      <c r="M170" s="4">
        <v>0.0</v>
      </c>
      <c r="N170" s="4">
        <v>0.0</v>
      </c>
      <c r="O170" s="4">
        <v>1.0</v>
      </c>
      <c r="P170" s="4">
        <v>0.0</v>
      </c>
      <c r="Q170" s="9"/>
      <c r="R170" s="4">
        <v>327606.0</v>
      </c>
      <c r="S170" s="4">
        <v>401073.97</v>
      </c>
      <c r="T170" s="4">
        <v>131821.05</v>
      </c>
      <c r="U170" s="5" t="s">
        <v>737</v>
      </c>
      <c r="V170" s="5" t="s">
        <v>36</v>
      </c>
      <c r="W170" s="4">
        <v>0.0</v>
      </c>
      <c r="X170" s="4">
        <v>0.0</v>
      </c>
      <c r="Y170" s="4">
        <v>1.0</v>
      </c>
      <c r="Z170" s="4">
        <v>1.0</v>
      </c>
      <c r="AA170" s="4">
        <v>11.0</v>
      </c>
      <c r="AB170" s="4">
        <v>12.0</v>
      </c>
      <c r="AC170" s="5" t="s">
        <v>738</v>
      </c>
      <c r="AD170" s="5"/>
      <c r="AE170" s="7" t="s">
        <v>50</v>
      </c>
    </row>
    <row r="171">
      <c r="A171" s="4">
        <v>-8570308.8591</v>
      </c>
      <c r="B171" s="4">
        <v>4701625.3247</v>
      </c>
      <c r="C171" s="4">
        <v>362011.0</v>
      </c>
      <c r="D171" s="5" t="s">
        <v>45</v>
      </c>
      <c r="E171" s="5" t="s">
        <v>739</v>
      </c>
      <c r="F171" s="5" t="s">
        <v>740</v>
      </c>
      <c r="G171" s="5" t="s">
        <v>33</v>
      </c>
      <c r="H171" s="5" t="s">
        <v>81</v>
      </c>
      <c r="I171" s="4">
        <v>1.0</v>
      </c>
      <c r="J171" s="4">
        <v>38.85990658</v>
      </c>
      <c r="K171" s="4">
        <v>-76.9883921</v>
      </c>
      <c r="L171" s="4">
        <v>0.0</v>
      </c>
      <c r="M171" s="4">
        <v>0.0</v>
      </c>
      <c r="N171" s="4">
        <v>0.0</v>
      </c>
      <c r="O171" s="4">
        <v>1.0</v>
      </c>
      <c r="P171" s="4">
        <v>0.0</v>
      </c>
      <c r="Q171" s="9"/>
      <c r="R171" s="4">
        <v>46740.0</v>
      </c>
      <c r="S171" s="4">
        <v>401007.48</v>
      </c>
      <c r="T171" s="4">
        <v>132454.69</v>
      </c>
      <c r="U171" s="5" t="s">
        <v>741</v>
      </c>
      <c r="V171" s="5" t="s">
        <v>36</v>
      </c>
      <c r="W171" s="4">
        <v>0.0</v>
      </c>
      <c r="X171" s="4">
        <v>0.0</v>
      </c>
      <c r="Y171" s="4">
        <v>1.0</v>
      </c>
      <c r="Z171" s="4">
        <v>1.0</v>
      </c>
      <c r="AA171" s="4">
        <v>5.0</v>
      </c>
      <c r="AB171" s="4">
        <v>6.0</v>
      </c>
      <c r="AC171" s="5" t="s">
        <v>742</v>
      </c>
      <c r="AD171" s="5"/>
      <c r="AE171" s="7" t="s">
        <v>50</v>
      </c>
    </row>
    <row r="172">
      <c r="A172" s="4">
        <v>-8569943.718</v>
      </c>
      <c r="B172" s="4">
        <v>4708736.8911</v>
      </c>
      <c r="C172" s="4">
        <v>362012.0</v>
      </c>
      <c r="D172" s="5" t="s">
        <v>56</v>
      </c>
      <c r="E172" s="5" t="s">
        <v>743</v>
      </c>
      <c r="F172" s="5" t="s">
        <v>744</v>
      </c>
      <c r="G172" s="5" t="s">
        <v>33</v>
      </c>
      <c r="H172" s="5" t="s">
        <v>34</v>
      </c>
      <c r="I172" s="4">
        <v>1.0</v>
      </c>
      <c r="J172" s="4">
        <v>38.90964506</v>
      </c>
      <c r="K172" s="4">
        <v>-76.9851084</v>
      </c>
      <c r="L172" s="4">
        <v>0.0</v>
      </c>
      <c r="M172" s="4">
        <v>0.0</v>
      </c>
      <c r="N172" s="4">
        <v>1.0</v>
      </c>
      <c r="O172" s="4">
        <v>0.0</v>
      </c>
      <c r="P172" s="4">
        <v>0.0</v>
      </c>
      <c r="Q172" s="5"/>
      <c r="R172" s="4">
        <v>286435.0</v>
      </c>
      <c r="S172" s="4">
        <v>401291.27</v>
      </c>
      <c r="T172" s="4">
        <v>137974.94</v>
      </c>
      <c r="U172" s="5" t="s">
        <v>745</v>
      </c>
      <c r="V172" s="5" t="s">
        <v>36</v>
      </c>
      <c r="W172" s="4">
        <v>0.0</v>
      </c>
      <c r="X172" s="4">
        <v>0.0</v>
      </c>
      <c r="Y172" s="4">
        <v>1.0</v>
      </c>
      <c r="Z172" s="4">
        <v>1.0</v>
      </c>
      <c r="AA172" s="4">
        <v>7.0</v>
      </c>
      <c r="AB172" s="4">
        <v>8.0</v>
      </c>
      <c r="AC172" s="5" t="s">
        <v>746</v>
      </c>
      <c r="AD172" s="5"/>
      <c r="AE172" s="7" t="s">
        <v>50</v>
      </c>
    </row>
    <row r="173">
      <c r="A173" s="4">
        <v>-8568651.9444</v>
      </c>
      <c r="B173" s="4">
        <v>4700109.863</v>
      </c>
      <c r="C173" s="4">
        <v>362013.0</v>
      </c>
      <c r="D173" s="5" t="s">
        <v>45</v>
      </c>
      <c r="E173" s="5" t="s">
        <v>747</v>
      </c>
      <c r="F173" s="5" t="s">
        <v>748</v>
      </c>
      <c r="G173" s="5" t="s">
        <v>33</v>
      </c>
      <c r="H173" s="5" t="s">
        <v>81</v>
      </c>
      <c r="I173" s="4">
        <v>190.0</v>
      </c>
      <c r="J173" s="4">
        <v>38.84930544</v>
      </c>
      <c r="K173" s="4">
        <v>-76.97350779</v>
      </c>
      <c r="L173" s="4">
        <v>0.0</v>
      </c>
      <c r="M173" s="4">
        <v>124.0</v>
      </c>
      <c r="N173" s="4">
        <v>66.0</v>
      </c>
      <c r="O173" s="4">
        <v>0.0</v>
      </c>
      <c r="P173" s="4">
        <v>0.0</v>
      </c>
      <c r="Q173" s="5"/>
      <c r="R173" s="4">
        <v>155345.0</v>
      </c>
      <c r="S173" s="4">
        <v>402299.67</v>
      </c>
      <c r="T173" s="4">
        <v>131278.12</v>
      </c>
      <c r="U173" s="5" t="s">
        <v>749</v>
      </c>
      <c r="V173" s="5" t="s">
        <v>36</v>
      </c>
      <c r="W173" s="4">
        <v>190.0</v>
      </c>
      <c r="X173" s="4">
        <v>0.0</v>
      </c>
      <c r="Y173" s="4">
        <v>0.0</v>
      </c>
      <c r="Z173" s="4">
        <v>0.0</v>
      </c>
      <c r="AA173" s="4">
        <v>0.0</v>
      </c>
      <c r="AB173" s="4">
        <v>190.0</v>
      </c>
      <c r="AC173" s="5" t="s">
        <v>750</v>
      </c>
      <c r="AD173" s="5"/>
      <c r="AE173" s="7" t="s">
        <v>50</v>
      </c>
    </row>
    <row r="174">
      <c r="A174" s="4">
        <v>-8570630.498</v>
      </c>
      <c r="B174" s="4">
        <v>4700916.5229</v>
      </c>
      <c r="C174" s="4">
        <v>362014.0</v>
      </c>
      <c r="D174" s="5" t="s">
        <v>45</v>
      </c>
      <c r="E174" s="5" t="s">
        <v>751</v>
      </c>
      <c r="F174" s="5" t="s">
        <v>752</v>
      </c>
      <c r="G174" s="5" t="s">
        <v>33</v>
      </c>
      <c r="H174" s="5" t="s">
        <v>81</v>
      </c>
      <c r="I174" s="4">
        <v>395.0</v>
      </c>
      <c r="J174" s="4">
        <v>38.85494866</v>
      </c>
      <c r="K174" s="4">
        <v>-76.99128143</v>
      </c>
      <c r="L174" s="4">
        <v>0.0</v>
      </c>
      <c r="M174" s="4">
        <v>395.0</v>
      </c>
      <c r="N174" s="4">
        <v>0.0</v>
      </c>
      <c r="O174" s="4">
        <v>0.0</v>
      </c>
      <c r="P174" s="4">
        <v>0.0</v>
      </c>
      <c r="Q174" s="5"/>
      <c r="R174" s="4">
        <v>296117.0</v>
      </c>
      <c r="S174" s="4">
        <v>400756.76</v>
      </c>
      <c r="T174" s="4">
        <v>131904.26</v>
      </c>
      <c r="U174" s="5" t="s">
        <v>753</v>
      </c>
      <c r="V174" s="5" t="s">
        <v>36</v>
      </c>
      <c r="W174" s="4">
        <v>395.0</v>
      </c>
      <c r="X174" s="4">
        <v>0.0</v>
      </c>
      <c r="Y174" s="4">
        <v>0.0</v>
      </c>
      <c r="Z174" s="4">
        <v>0.0</v>
      </c>
      <c r="AA174" s="4">
        <v>0.0</v>
      </c>
      <c r="AB174" s="4">
        <v>395.0</v>
      </c>
      <c r="AC174" s="5" t="s">
        <v>754</v>
      </c>
      <c r="AD174" s="5"/>
      <c r="AE174" s="7" t="s">
        <v>50</v>
      </c>
    </row>
    <row r="175">
      <c r="A175" s="4">
        <v>-8570728.8418</v>
      </c>
      <c r="B175" s="4">
        <v>4710511.9728</v>
      </c>
      <c r="C175" s="4">
        <v>362016.0</v>
      </c>
      <c r="D175" s="5" t="s">
        <v>56</v>
      </c>
      <c r="E175" s="5" t="s">
        <v>755</v>
      </c>
      <c r="F175" s="5" t="s">
        <v>756</v>
      </c>
      <c r="G175" s="5" t="s">
        <v>33</v>
      </c>
      <c r="H175" s="5" t="s">
        <v>34</v>
      </c>
      <c r="I175" s="4">
        <v>1.0</v>
      </c>
      <c r="J175" s="4">
        <v>38.92203077</v>
      </c>
      <c r="K175" s="4">
        <v>-76.99220165</v>
      </c>
      <c r="L175" s="4">
        <v>0.0</v>
      </c>
      <c r="M175" s="4">
        <v>0.0</v>
      </c>
      <c r="N175" s="4">
        <v>1.0</v>
      </c>
      <c r="O175" s="4">
        <v>0.0</v>
      </c>
      <c r="P175" s="4">
        <v>0.0</v>
      </c>
      <c r="Q175" s="5"/>
      <c r="R175" s="4">
        <v>76175.0</v>
      </c>
      <c r="S175" s="4">
        <v>400679.44</v>
      </c>
      <c r="T175" s="4">
        <v>139352.14</v>
      </c>
      <c r="U175" s="5" t="s">
        <v>757</v>
      </c>
      <c r="V175" s="5" t="s">
        <v>36</v>
      </c>
      <c r="W175" s="4">
        <v>0.0</v>
      </c>
      <c r="X175" s="4">
        <v>0.0</v>
      </c>
      <c r="Y175" s="4">
        <v>1.0</v>
      </c>
      <c r="Z175" s="4">
        <v>1.0</v>
      </c>
      <c r="AA175" s="4">
        <v>14.0</v>
      </c>
      <c r="AB175" s="4">
        <v>15.0</v>
      </c>
      <c r="AC175" s="5" t="s">
        <v>758</v>
      </c>
      <c r="AD175" s="5"/>
      <c r="AE175" s="7" t="s">
        <v>50</v>
      </c>
    </row>
    <row r="176">
      <c r="A176" s="4">
        <v>-8574990.1996</v>
      </c>
      <c r="B176" s="4">
        <v>4715595.6585</v>
      </c>
      <c r="C176" s="4">
        <v>362018.0</v>
      </c>
      <c r="D176" s="5" t="s">
        <v>51</v>
      </c>
      <c r="E176" s="5" t="s">
        <v>759</v>
      </c>
      <c r="F176" s="5" t="s">
        <v>760</v>
      </c>
      <c r="G176" s="5" t="s">
        <v>33</v>
      </c>
      <c r="H176" s="5" t="s">
        <v>34</v>
      </c>
      <c r="I176" s="4">
        <v>1.0</v>
      </c>
      <c r="J176" s="4">
        <v>38.95749235</v>
      </c>
      <c r="K176" s="4">
        <v>-77.0304539</v>
      </c>
      <c r="L176" s="4">
        <v>0.0</v>
      </c>
      <c r="M176" s="4">
        <v>0.0</v>
      </c>
      <c r="N176" s="4">
        <v>1.0</v>
      </c>
      <c r="O176" s="4">
        <v>0.0</v>
      </c>
      <c r="P176" s="4">
        <v>0.0</v>
      </c>
      <c r="Q176" s="5"/>
      <c r="R176" s="4">
        <v>257886.0</v>
      </c>
      <c r="S176" s="4">
        <v>397361.19</v>
      </c>
      <c r="T176" s="4">
        <v>143295.64</v>
      </c>
      <c r="U176" s="5" t="s">
        <v>761</v>
      </c>
      <c r="V176" s="5" t="s">
        <v>36</v>
      </c>
      <c r="W176" s="4">
        <v>0.0</v>
      </c>
      <c r="X176" s="4">
        <v>0.0</v>
      </c>
      <c r="Y176" s="4">
        <v>1.0</v>
      </c>
      <c r="Z176" s="4">
        <v>1.0</v>
      </c>
      <c r="AA176" s="4">
        <v>11.0</v>
      </c>
      <c r="AB176" s="4">
        <v>12.0</v>
      </c>
      <c r="AC176" s="5" t="s">
        <v>762</v>
      </c>
      <c r="AD176" s="5"/>
      <c r="AE176" s="7" t="s">
        <v>50</v>
      </c>
    </row>
    <row r="177">
      <c r="A177" s="4">
        <v>-8569293.8993</v>
      </c>
      <c r="B177" s="4">
        <v>4707782.392</v>
      </c>
      <c r="C177" s="4">
        <v>362019.0</v>
      </c>
      <c r="D177" s="5" t="s">
        <v>56</v>
      </c>
      <c r="E177" s="5" t="s">
        <v>763</v>
      </c>
      <c r="F177" s="5" t="s">
        <v>764</v>
      </c>
      <c r="G177" s="5" t="s">
        <v>33</v>
      </c>
      <c r="H177" s="5" t="s">
        <v>34</v>
      </c>
      <c r="I177" s="4">
        <v>1.0</v>
      </c>
      <c r="J177" s="4">
        <v>38.90296439</v>
      </c>
      <c r="K177" s="4">
        <v>-76.97923433</v>
      </c>
      <c r="L177" s="4">
        <v>0.0</v>
      </c>
      <c r="M177" s="4">
        <v>1.0</v>
      </c>
      <c r="N177" s="4">
        <v>0.0</v>
      </c>
      <c r="O177" s="4">
        <v>0.0</v>
      </c>
      <c r="P177" s="4">
        <v>0.0</v>
      </c>
      <c r="Q177" s="5"/>
      <c r="R177" s="4">
        <v>75993.0</v>
      </c>
      <c r="S177" s="4">
        <v>401797.73</v>
      </c>
      <c r="T177" s="4">
        <v>137234.35</v>
      </c>
      <c r="U177" s="5" t="s">
        <v>765</v>
      </c>
      <c r="V177" s="5" t="s">
        <v>36</v>
      </c>
      <c r="W177" s="4">
        <v>0.0</v>
      </c>
      <c r="X177" s="4">
        <v>0.0</v>
      </c>
      <c r="Y177" s="4">
        <v>1.0</v>
      </c>
      <c r="Z177" s="4">
        <v>1.0</v>
      </c>
      <c r="AA177" s="4">
        <v>14.0</v>
      </c>
      <c r="AB177" s="4">
        <v>15.0</v>
      </c>
      <c r="AC177" s="5" t="s">
        <v>766</v>
      </c>
      <c r="AD177" s="5"/>
      <c r="AE177" s="7" t="s">
        <v>50</v>
      </c>
    </row>
    <row r="178">
      <c r="A178" s="4">
        <v>-8572645.2294</v>
      </c>
      <c r="B178" s="4">
        <v>4708773.8432</v>
      </c>
      <c r="C178" s="4">
        <v>362020.0</v>
      </c>
      <c r="D178" s="5" t="s">
        <v>56</v>
      </c>
      <c r="E178" s="5" t="s">
        <v>767</v>
      </c>
      <c r="F178" s="5" t="s">
        <v>768</v>
      </c>
      <c r="G178" s="5" t="s">
        <v>33</v>
      </c>
      <c r="H178" s="5" t="s">
        <v>34</v>
      </c>
      <c r="I178" s="4">
        <v>1.0</v>
      </c>
      <c r="J178" s="4">
        <v>38.90989337</v>
      </c>
      <c r="K178" s="4">
        <v>-77.00938006</v>
      </c>
      <c r="L178" s="4">
        <v>0.0</v>
      </c>
      <c r="M178" s="4">
        <v>0.0</v>
      </c>
      <c r="N178" s="4">
        <v>0.0</v>
      </c>
      <c r="O178" s="4">
        <v>1.0</v>
      </c>
      <c r="P178" s="4">
        <v>0.0</v>
      </c>
      <c r="Q178" s="5"/>
      <c r="R178" s="4">
        <v>236798.0</v>
      </c>
      <c r="S178" s="4">
        <v>399186.45</v>
      </c>
      <c r="T178" s="4">
        <v>138003.55</v>
      </c>
      <c r="U178" s="5" t="s">
        <v>769</v>
      </c>
      <c r="V178" s="5" t="s">
        <v>36</v>
      </c>
      <c r="W178" s="4">
        <v>0.0</v>
      </c>
      <c r="X178" s="4">
        <v>0.0</v>
      </c>
      <c r="Y178" s="4">
        <v>1.0</v>
      </c>
      <c r="Z178" s="4">
        <v>1.0</v>
      </c>
      <c r="AA178" s="4">
        <v>7.0</v>
      </c>
      <c r="AB178" s="4">
        <v>8.0</v>
      </c>
      <c r="AC178" s="5" t="s">
        <v>770</v>
      </c>
      <c r="AD178" s="5"/>
      <c r="AE178" s="7" t="s">
        <v>50</v>
      </c>
    </row>
    <row r="179">
      <c r="A179" s="4">
        <v>-8570092.6825</v>
      </c>
      <c r="B179" s="4">
        <v>4700988.7384</v>
      </c>
      <c r="C179" s="4">
        <v>362021.0</v>
      </c>
      <c r="D179" s="5" t="s">
        <v>45</v>
      </c>
      <c r="E179" s="5" t="s">
        <v>771</v>
      </c>
      <c r="F179" s="5" t="s">
        <v>772</v>
      </c>
      <c r="G179" s="5" t="s">
        <v>33</v>
      </c>
      <c r="H179" s="5" t="s">
        <v>34</v>
      </c>
      <c r="I179" s="4">
        <v>5.0</v>
      </c>
      <c r="J179" s="4">
        <v>38.85545161</v>
      </c>
      <c r="K179" s="4">
        <v>-76.98640983</v>
      </c>
      <c r="L179" s="4">
        <v>0.0</v>
      </c>
      <c r="M179" s="4">
        <v>2.0</v>
      </c>
      <c r="N179" s="4">
        <v>0.0</v>
      </c>
      <c r="O179" s="4">
        <v>3.0</v>
      </c>
      <c r="P179" s="4">
        <v>0.0</v>
      </c>
      <c r="Q179" s="5"/>
      <c r="R179" s="4">
        <v>317246.0</v>
      </c>
      <c r="S179" s="4">
        <v>401176.1</v>
      </c>
      <c r="T179" s="4">
        <v>131960.39</v>
      </c>
      <c r="U179" s="5" t="s">
        <v>773</v>
      </c>
      <c r="V179" s="5" t="s">
        <v>36</v>
      </c>
      <c r="W179" s="4">
        <v>0.0</v>
      </c>
      <c r="X179" s="4">
        <v>0.0</v>
      </c>
      <c r="Y179" s="4">
        <v>5.0</v>
      </c>
      <c r="Z179" s="4">
        <v>5.0</v>
      </c>
      <c r="AA179" s="4">
        <v>37.0</v>
      </c>
      <c r="AB179" s="4">
        <v>42.0</v>
      </c>
      <c r="AC179" s="5" t="s">
        <v>774</v>
      </c>
      <c r="AD179" s="5"/>
      <c r="AE179" s="7" t="s">
        <v>50</v>
      </c>
    </row>
    <row r="180">
      <c r="A180" s="4">
        <v>-8571627.1184</v>
      </c>
      <c r="B180" s="4">
        <v>4710824.4943</v>
      </c>
      <c r="C180" s="4">
        <v>362022.0</v>
      </c>
      <c r="D180" s="5" t="s">
        <v>56</v>
      </c>
      <c r="E180" s="5" t="s">
        <v>775</v>
      </c>
      <c r="F180" s="5" t="s">
        <v>776</v>
      </c>
      <c r="G180" s="5" t="s">
        <v>33</v>
      </c>
      <c r="H180" s="5" t="s">
        <v>34</v>
      </c>
      <c r="I180" s="4">
        <v>1.0</v>
      </c>
      <c r="J180" s="4">
        <v>38.92422323</v>
      </c>
      <c r="K180" s="4">
        <v>-77.00017656</v>
      </c>
      <c r="L180" s="4">
        <v>0.0</v>
      </c>
      <c r="M180" s="4">
        <v>0.0</v>
      </c>
      <c r="N180" s="4">
        <v>1.0</v>
      </c>
      <c r="O180" s="4">
        <v>0.0</v>
      </c>
      <c r="P180" s="4">
        <v>0.0</v>
      </c>
      <c r="Q180" s="9"/>
      <c r="R180" s="4">
        <v>331223.0</v>
      </c>
      <c r="S180" s="4">
        <v>399979.69</v>
      </c>
      <c r="T180" s="4">
        <v>139594.57</v>
      </c>
      <c r="U180" s="5" t="s">
        <v>777</v>
      </c>
      <c r="V180" s="5" t="s">
        <v>36</v>
      </c>
      <c r="W180" s="4">
        <v>0.0</v>
      </c>
      <c r="X180" s="4">
        <v>0.0</v>
      </c>
      <c r="Y180" s="4">
        <v>1.0</v>
      </c>
      <c r="Z180" s="4">
        <v>1.0</v>
      </c>
      <c r="AA180" s="4">
        <v>1.0</v>
      </c>
      <c r="AB180" s="4">
        <v>2.0</v>
      </c>
      <c r="AC180" s="5" t="s">
        <v>208</v>
      </c>
      <c r="AD180" s="5"/>
      <c r="AE180" s="7" t="s">
        <v>50</v>
      </c>
    </row>
    <row r="181">
      <c r="A181" s="4">
        <v>-8569712.7125</v>
      </c>
      <c r="B181" s="4">
        <v>4702514.8661</v>
      </c>
      <c r="C181" s="4">
        <v>362024.0</v>
      </c>
      <c r="D181" s="5" t="s">
        <v>45</v>
      </c>
      <c r="E181" s="5" t="s">
        <v>778</v>
      </c>
      <c r="F181" s="5" t="s">
        <v>779</v>
      </c>
      <c r="G181" s="5" t="s">
        <v>33</v>
      </c>
      <c r="H181" s="5" t="s">
        <v>34</v>
      </c>
      <c r="I181" s="4">
        <v>4.0</v>
      </c>
      <c r="J181" s="4">
        <v>38.866129</v>
      </c>
      <c r="K181" s="4">
        <v>-76.98303683</v>
      </c>
      <c r="L181" s="4">
        <v>0.0</v>
      </c>
      <c r="M181" s="4">
        <v>0.0</v>
      </c>
      <c r="N181" s="4">
        <v>4.0</v>
      </c>
      <c r="O181" s="4">
        <v>0.0</v>
      </c>
      <c r="P181" s="4">
        <v>0.0</v>
      </c>
      <c r="Q181" s="9"/>
      <c r="R181" s="4">
        <v>54043.0</v>
      </c>
      <c r="S181" s="4">
        <v>401472.15</v>
      </c>
      <c r="T181" s="4">
        <v>133145.46</v>
      </c>
      <c r="U181" s="5" t="s">
        <v>780</v>
      </c>
      <c r="V181" s="5" t="s">
        <v>36</v>
      </c>
      <c r="W181" s="4">
        <v>0.0</v>
      </c>
      <c r="X181" s="4">
        <v>0.0</v>
      </c>
      <c r="Y181" s="4">
        <v>4.0</v>
      </c>
      <c r="Z181" s="4">
        <v>4.0</v>
      </c>
      <c r="AA181" s="4">
        <v>23.0</v>
      </c>
      <c r="AB181" s="4">
        <v>27.0</v>
      </c>
      <c r="AC181" s="5" t="s">
        <v>781</v>
      </c>
      <c r="AD181" s="5"/>
      <c r="AE181" s="7" t="s">
        <v>50</v>
      </c>
    </row>
    <row r="182">
      <c r="A182" s="4">
        <v>-8575149.7632</v>
      </c>
      <c r="B182" s="4">
        <v>4710859.0356</v>
      </c>
      <c r="C182" s="4">
        <v>362026.0</v>
      </c>
      <c r="D182" s="5" t="s">
        <v>114</v>
      </c>
      <c r="E182" s="5" t="s">
        <v>782</v>
      </c>
      <c r="F182" s="5" t="s">
        <v>783</v>
      </c>
      <c r="G182" s="5" t="s">
        <v>33</v>
      </c>
      <c r="H182" s="5" t="s">
        <v>81</v>
      </c>
      <c r="I182" s="4">
        <v>125.0</v>
      </c>
      <c r="J182" s="4">
        <v>38.92442147</v>
      </c>
      <c r="K182" s="4">
        <v>-77.03189836</v>
      </c>
      <c r="L182" s="4">
        <v>9.0</v>
      </c>
      <c r="M182" s="4">
        <v>36.0</v>
      </c>
      <c r="N182" s="4">
        <v>80.0</v>
      </c>
      <c r="O182" s="4">
        <v>0.0</v>
      </c>
      <c r="P182" s="4">
        <v>0.0</v>
      </c>
      <c r="Q182" s="5"/>
      <c r="R182" s="4">
        <v>335730.0</v>
      </c>
      <c r="S182" s="4">
        <v>397235.67</v>
      </c>
      <c r="T182" s="4">
        <v>139621.85</v>
      </c>
      <c r="U182" s="5" t="s">
        <v>784</v>
      </c>
      <c r="V182" s="5" t="s">
        <v>36</v>
      </c>
      <c r="W182" s="4">
        <v>80.0</v>
      </c>
      <c r="X182" s="4">
        <v>0.0</v>
      </c>
      <c r="Y182" s="4">
        <v>45.0</v>
      </c>
      <c r="Z182" s="4">
        <v>45.0</v>
      </c>
      <c r="AA182" s="4">
        <v>0.0</v>
      </c>
      <c r="AB182" s="4">
        <v>125.0</v>
      </c>
      <c r="AC182" s="5" t="s">
        <v>785</v>
      </c>
      <c r="AD182" s="5"/>
      <c r="AE182" s="7" t="s">
        <v>50</v>
      </c>
    </row>
    <row r="183">
      <c r="A183" s="4">
        <v>-8572563.0237</v>
      </c>
      <c r="B183" s="4">
        <v>4708793.788</v>
      </c>
      <c r="C183" s="4">
        <v>362027.0</v>
      </c>
      <c r="D183" s="5" t="s">
        <v>56</v>
      </c>
      <c r="E183" s="5" t="s">
        <v>786</v>
      </c>
      <c r="F183" s="5" t="s">
        <v>787</v>
      </c>
      <c r="G183" s="5" t="s">
        <v>33</v>
      </c>
      <c r="H183" s="5" t="s">
        <v>34</v>
      </c>
      <c r="I183" s="4">
        <v>0.0</v>
      </c>
      <c r="J183" s="4">
        <v>38.91004398</v>
      </c>
      <c r="K183" s="4">
        <v>-77.00856688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5"/>
      <c r="R183" s="4">
        <v>336620.0</v>
      </c>
      <c r="S183" s="4">
        <v>399250.5</v>
      </c>
      <c r="T183" s="4">
        <v>138019.02</v>
      </c>
      <c r="U183" s="5" t="s">
        <v>788</v>
      </c>
      <c r="V183" s="5" t="s">
        <v>36</v>
      </c>
      <c r="W183" s="4">
        <v>0.0</v>
      </c>
      <c r="X183" s="4">
        <v>0.0</v>
      </c>
      <c r="Y183" s="4">
        <v>0.0</v>
      </c>
      <c r="Z183" s="4">
        <v>0.0</v>
      </c>
      <c r="AA183" s="4">
        <v>3.0</v>
      </c>
      <c r="AB183" s="4">
        <v>3.0</v>
      </c>
      <c r="AC183" s="5" t="s">
        <v>789</v>
      </c>
      <c r="AD183" s="5"/>
      <c r="AE183" s="7" t="s">
        <v>50</v>
      </c>
    </row>
    <row r="184">
      <c r="A184" s="4">
        <v>-8570705.998</v>
      </c>
      <c r="B184" s="4">
        <v>4702098.0519</v>
      </c>
      <c r="C184" s="4">
        <v>362028.0</v>
      </c>
      <c r="D184" s="5" t="s">
        <v>45</v>
      </c>
      <c r="E184" s="5" t="s">
        <v>790</v>
      </c>
      <c r="F184" s="5" t="s">
        <v>791</v>
      </c>
      <c r="G184" s="5" t="s">
        <v>33</v>
      </c>
      <c r="H184" s="5" t="s">
        <v>34</v>
      </c>
      <c r="I184" s="4">
        <v>81.0</v>
      </c>
      <c r="J184" s="4">
        <v>38.86321324</v>
      </c>
      <c r="K184" s="4">
        <v>-76.99195966</v>
      </c>
      <c r="L184" s="4">
        <v>20.0</v>
      </c>
      <c r="M184" s="4">
        <v>61.0</v>
      </c>
      <c r="N184" s="4">
        <v>0.0</v>
      </c>
      <c r="O184" s="4">
        <v>0.0</v>
      </c>
      <c r="P184" s="4">
        <v>0.0</v>
      </c>
      <c r="Q184" s="5"/>
      <c r="R184" s="4">
        <v>48539.0</v>
      </c>
      <c r="S184" s="4">
        <v>400697.81</v>
      </c>
      <c r="T184" s="4">
        <v>132821.72</v>
      </c>
      <c r="U184" s="5" t="s">
        <v>792</v>
      </c>
      <c r="V184" s="5" t="s">
        <v>36</v>
      </c>
      <c r="W184" s="4">
        <v>0.0</v>
      </c>
      <c r="X184" s="4">
        <v>0.0</v>
      </c>
      <c r="Y184" s="4">
        <v>81.0</v>
      </c>
      <c r="Z184" s="4">
        <v>81.0</v>
      </c>
      <c r="AA184" s="4">
        <v>0.0</v>
      </c>
      <c r="AB184" s="4">
        <v>81.0</v>
      </c>
      <c r="AC184" s="5" t="s">
        <v>793</v>
      </c>
      <c r="AD184" s="5"/>
      <c r="AE184" s="7" t="s">
        <v>50</v>
      </c>
    </row>
    <row r="185">
      <c r="A185" s="4">
        <v>-8573857.226</v>
      </c>
      <c r="B185" s="4">
        <v>4715315.7132</v>
      </c>
      <c r="C185" s="4">
        <v>362031.0</v>
      </c>
      <c r="D185" s="5" t="s">
        <v>51</v>
      </c>
      <c r="E185" s="5" t="s">
        <v>794</v>
      </c>
      <c r="F185" s="5" t="s">
        <v>795</v>
      </c>
      <c r="G185" s="5" t="s">
        <v>33</v>
      </c>
      <c r="H185" s="5" t="s">
        <v>34</v>
      </c>
      <c r="I185" s="4">
        <v>14.0</v>
      </c>
      <c r="J185" s="4">
        <v>38.95560697</v>
      </c>
      <c r="K185" s="4">
        <v>-77.02026761</v>
      </c>
      <c r="L185" s="4">
        <v>7.0</v>
      </c>
      <c r="M185" s="4">
        <v>5.0</v>
      </c>
      <c r="N185" s="4">
        <v>0.0</v>
      </c>
      <c r="O185" s="4">
        <v>2.0</v>
      </c>
      <c r="P185" s="4">
        <v>0.0</v>
      </c>
      <c r="Q185" s="5"/>
      <c r="R185" s="4">
        <v>246749.0</v>
      </c>
      <c r="S185" s="4">
        <v>398243.28</v>
      </c>
      <c r="T185" s="4">
        <v>143078.31</v>
      </c>
      <c r="U185" s="5" t="s">
        <v>796</v>
      </c>
      <c r="V185" s="5" t="s">
        <v>36</v>
      </c>
      <c r="W185" s="4">
        <v>14.0</v>
      </c>
      <c r="X185" s="4">
        <v>0.0</v>
      </c>
      <c r="Y185" s="4">
        <v>0.0</v>
      </c>
      <c r="Z185" s="4">
        <v>0.0</v>
      </c>
      <c r="AA185" s="4">
        <v>0.0</v>
      </c>
      <c r="AB185" s="4">
        <v>14.0</v>
      </c>
      <c r="AC185" s="5" t="s">
        <v>797</v>
      </c>
      <c r="AD185" s="5"/>
      <c r="AE185" s="7" t="s">
        <v>50</v>
      </c>
    </row>
    <row r="186">
      <c r="A186" s="4">
        <v>-8571251.4819</v>
      </c>
      <c r="B186" s="4">
        <v>4710412.5368</v>
      </c>
      <c r="C186" s="4">
        <v>362033.0</v>
      </c>
      <c r="D186" s="5" t="s">
        <v>56</v>
      </c>
      <c r="E186" s="5" t="s">
        <v>798</v>
      </c>
      <c r="F186" s="5" t="s">
        <v>799</v>
      </c>
      <c r="G186" s="5" t="s">
        <v>33</v>
      </c>
      <c r="H186" s="5" t="s">
        <v>34</v>
      </c>
      <c r="I186" s="4">
        <v>25.0</v>
      </c>
      <c r="J186" s="4">
        <v>38.92152844</v>
      </c>
      <c r="K186" s="4">
        <v>-76.99690098</v>
      </c>
      <c r="L186" s="4">
        <v>0.0</v>
      </c>
      <c r="M186" s="4">
        <v>3.0</v>
      </c>
      <c r="N186" s="4">
        <v>22.0</v>
      </c>
      <c r="O186" s="4">
        <v>0.0</v>
      </c>
      <c r="P186" s="4">
        <v>0.0</v>
      </c>
      <c r="Q186" s="5"/>
      <c r="R186" s="4">
        <v>288849.0</v>
      </c>
      <c r="S186" s="4">
        <v>400272.31</v>
      </c>
      <c r="T186" s="4">
        <v>139274.97</v>
      </c>
      <c r="U186" s="5" t="s">
        <v>800</v>
      </c>
      <c r="V186" s="5" t="s">
        <v>36</v>
      </c>
      <c r="W186" s="4">
        <v>0.0</v>
      </c>
      <c r="X186" s="4">
        <v>0.0</v>
      </c>
      <c r="Y186" s="4">
        <v>25.0</v>
      </c>
      <c r="Z186" s="4">
        <v>25.0</v>
      </c>
      <c r="AA186" s="4">
        <v>307.0</v>
      </c>
      <c r="AB186" s="4">
        <v>332.0</v>
      </c>
      <c r="AC186" s="5" t="s">
        <v>399</v>
      </c>
      <c r="AD186" s="5"/>
      <c r="AE186" s="7" t="s">
        <v>50</v>
      </c>
    </row>
    <row r="187">
      <c r="A187" s="4">
        <v>-8569011.3242</v>
      </c>
      <c r="B187" s="4">
        <v>4703396.9652</v>
      </c>
      <c r="C187" s="4">
        <v>362034.0</v>
      </c>
      <c r="D187" s="5" t="s">
        <v>45</v>
      </c>
      <c r="E187" s="5" t="s">
        <v>801</v>
      </c>
      <c r="F187" s="5" t="s">
        <v>802</v>
      </c>
      <c r="G187" s="5" t="s">
        <v>33</v>
      </c>
      <c r="H187" s="5" t="s">
        <v>34</v>
      </c>
      <c r="I187" s="4">
        <v>3.0</v>
      </c>
      <c r="J187" s="4">
        <v>38.8723248</v>
      </c>
      <c r="K187" s="4">
        <v>-76.97672323</v>
      </c>
      <c r="L187" s="4">
        <v>0.0</v>
      </c>
      <c r="M187" s="4">
        <v>0.0</v>
      </c>
      <c r="N187" s="4">
        <v>3.0</v>
      </c>
      <c r="O187" s="4">
        <v>0.0</v>
      </c>
      <c r="P187" s="4">
        <v>0.0</v>
      </c>
      <c r="Q187" s="5"/>
      <c r="R187" s="4">
        <v>53361.0</v>
      </c>
      <c r="S187" s="4">
        <v>402018.78</v>
      </c>
      <c r="T187" s="4">
        <v>133830.44</v>
      </c>
      <c r="U187" s="5" t="s">
        <v>803</v>
      </c>
      <c r="V187" s="5" t="s">
        <v>36</v>
      </c>
      <c r="W187" s="4">
        <v>0.0</v>
      </c>
      <c r="X187" s="4">
        <v>0.0</v>
      </c>
      <c r="Y187" s="4">
        <v>3.0</v>
      </c>
      <c r="Z187" s="4">
        <v>3.0</v>
      </c>
      <c r="AA187" s="4">
        <v>26.0</v>
      </c>
      <c r="AB187" s="4">
        <v>29.0</v>
      </c>
      <c r="AC187" s="5" t="s">
        <v>804</v>
      </c>
      <c r="AD187" s="5"/>
      <c r="AE187" s="7" t="s">
        <v>50</v>
      </c>
    </row>
    <row r="188">
      <c r="A188" s="4">
        <v>-8573986.9234</v>
      </c>
      <c r="B188" s="4">
        <v>4715457.2897</v>
      </c>
      <c r="C188" s="4">
        <v>362035.0</v>
      </c>
      <c r="D188" s="5" t="s">
        <v>51</v>
      </c>
      <c r="E188" s="5" t="s">
        <v>805</v>
      </c>
      <c r="F188" s="5" t="s">
        <v>806</v>
      </c>
      <c r="G188" s="5" t="s">
        <v>33</v>
      </c>
      <c r="H188" s="5" t="s">
        <v>34</v>
      </c>
      <c r="I188" s="4">
        <v>1.0</v>
      </c>
      <c r="J188" s="4">
        <v>38.95659596</v>
      </c>
      <c r="K188" s="4">
        <v>-77.0214327</v>
      </c>
      <c r="L188" s="4">
        <v>0.0</v>
      </c>
      <c r="M188" s="4">
        <v>0.0</v>
      </c>
      <c r="N188" s="4">
        <v>1.0</v>
      </c>
      <c r="O188" s="4">
        <v>0.0</v>
      </c>
      <c r="P188" s="4">
        <v>0.0</v>
      </c>
      <c r="Q188" s="5"/>
      <c r="R188" s="4">
        <v>246718.0</v>
      </c>
      <c r="S188" s="4">
        <v>398142.32</v>
      </c>
      <c r="T188" s="4">
        <v>143188.12</v>
      </c>
      <c r="U188" s="5" t="s">
        <v>807</v>
      </c>
      <c r="V188" s="5" t="s">
        <v>36</v>
      </c>
      <c r="W188" s="4">
        <v>0.0</v>
      </c>
      <c r="X188" s="4">
        <v>0.0</v>
      </c>
      <c r="Y188" s="4">
        <v>1.0</v>
      </c>
      <c r="Z188" s="4">
        <v>1.0</v>
      </c>
      <c r="AA188" s="4">
        <v>9.0</v>
      </c>
      <c r="AB188" s="4">
        <v>10.0</v>
      </c>
      <c r="AC188" s="5" t="s">
        <v>808</v>
      </c>
      <c r="AD188" s="5"/>
      <c r="AE188" s="7" t="s">
        <v>50</v>
      </c>
    </row>
    <row r="189">
      <c r="A189" s="4">
        <v>-8563877.0458</v>
      </c>
      <c r="B189" s="4">
        <v>4708419.8291</v>
      </c>
      <c r="C189" s="4">
        <v>362036.0</v>
      </c>
      <c r="D189" s="5" t="s">
        <v>30</v>
      </c>
      <c r="E189" s="5" t="s">
        <v>809</v>
      </c>
      <c r="F189" s="5" t="s">
        <v>810</v>
      </c>
      <c r="G189" s="5" t="s">
        <v>310</v>
      </c>
      <c r="H189" s="5" t="s">
        <v>34</v>
      </c>
      <c r="I189" s="4">
        <v>1.0</v>
      </c>
      <c r="J189" s="4">
        <v>38.90741873</v>
      </c>
      <c r="K189" s="4">
        <v>-76.93061415</v>
      </c>
      <c r="L189" s="4">
        <v>0.0</v>
      </c>
      <c r="M189" s="4">
        <v>1.0</v>
      </c>
      <c r="N189" s="4">
        <v>0.0</v>
      </c>
      <c r="O189" s="4">
        <v>0.0</v>
      </c>
      <c r="P189" s="4">
        <v>0.0</v>
      </c>
      <c r="Q189" s="5"/>
      <c r="R189" s="4">
        <v>16230.0</v>
      </c>
      <c r="S189" s="4">
        <v>406018.17</v>
      </c>
      <c r="T189" s="4">
        <v>137731.09</v>
      </c>
      <c r="U189" s="5" t="s">
        <v>811</v>
      </c>
      <c r="V189" s="5" t="s">
        <v>36</v>
      </c>
      <c r="W189" s="4">
        <v>0.0</v>
      </c>
      <c r="X189" s="4">
        <v>0.0</v>
      </c>
      <c r="Y189" s="4">
        <v>1.0</v>
      </c>
      <c r="Z189" s="4">
        <v>1.0</v>
      </c>
      <c r="AA189" s="4">
        <v>7.0</v>
      </c>
      <c r="AB189" s="4">
        <v>8.0</v>
      </c>
      <c r="AC189" s="5"/>
      <c r="AD189" s="5"/>
      <c r="AE189" s="7" t="s">
        <v>312</v>
      </c>
    </row>
    <row r="190">
      <c r="A190" s="4">
        <v>-8564288.2928</v>
      </c>
      <c r="B190" s="4">
        <v>4707804.0459</v>
      </c>
      <c r="C190" s="4">
        <v>362037.0</v>
      </c>
      <c r="D190" s="5" t="s">
        <v>30</v>
      </c>
      <c r="E190" s="5" t="s">
        <v>812</v>
      </c>
      <c r="F190" s="5" t="s">
        <v>813</v>
      </c>
      <c r="G190" s="5" t="s">
        <v>33</v>
      </c>
      <c r="H190" s="5" t="s">
        <v>34</v>
      </c>
      <c r="I190" s="4">
        <v>1.0</v>
      </c>
      <c r="J190" s="4">
        <v>38.90308138</v>
      </c>
      <c r="K190" s="4">
        <v>-76.9343479</v>
      </c>
      <c r="L190" s="4">
        <v>0.0</v>
      </c>
      <c r="M190" s="4">
        <v>0.0</v>
      </c>
      <c r="N190" s="4">
        <v>0.0</v>
      </c>
      <c r="O190" s="4">
        <v>1.0</v>
      </c>
      <c r="P190" s="4">
        <v>0.0</v>
      </c>
      <c r="Q190" s="5"/>
      <c r="R190" s="4">
        <v>309664.0</v>
      </c>
      <c r="S190" s="4">
        <v>405698.09</v>
      </c>
      <c r="T190" s="4">
        <v>137253.0</v>
      </c>
      <c r="U190" s="5" t="s">
        <v>814</v>
      </c>
      <c r="V190" s="5" t="s">
        <v>36</v>
      </c>
      <c r="W190" s="4">
        <v>0.0</v>
      </c>
      <c r="X190" s="4">
        <v>0.0</v>
      </c>
      <c r="Y190" s="4">
        <v>1.0</v>
      </c>
      <c r="Z190" s="4">
        <v>1.0</v>
      </c>
      <c r="AA190" s="4">
        <v>8.0</v>
      </c>
      <c r="AB190" s="4">
        <v>9.0</v>
      </c>
      <c r="AC190" s="5" t="s">
        <v>815</v>
      </c>
      <c r="AD190" s="5"/>
      <c r="AE190" s="7" t="s">
        <v>50</v>
      </c>
    </row>
    <row r="191">
      <c r="A191" s="4">
        <v>-8574699.4812</v>
      </c>
      <c r="B191" s="4">
        <v>4711813.0802</v>
      </c>
      <c r="C191" s="4">
        <v>362039.0</v>
      </c>
      <c r="D191" s="5" t="s">
        <v>114</v>
      </c>
      <c r="E191" s="5" t="s">
        <v>816</v>
      </c>
      <c r="F191" s="5" t="s">
        <v>817</v>
      </c>
      <c r="G191" s="5" t="s">
        <v>33</v>
      </c>
      <c r="H191" s="5" t="s">
        <v>34</v>
      </c>
      <c r="I191" s="4">
        <v>1.0</v>
      </c>
      <c r="J191" s="4">
        <v>38.93113494</v>
      </c>
      <c r="K191" s="4">
        <v>-77.02781745</v>
      </c>
      <c r="L191" s="4">
        <v>0.0</v>
      </c>
      <c r="M191" s="4">
        <v>0.0</v>
      </c>
      <c r="N191" s="4">
        <v>1.0</v>
      </c>
      <c r="O191" s="4">
        <v>0.0</v>
      </c>
      <c r="P191" s="4">
        <v>0.0</v>
      </c>
      <c r="Q191" s="5"/>
      <c r="R191" s="4">
        <v>230987.0</v>
      </c>
      <c r="S191" s="4">
        <v>397586.65</v>
      </c>
      <c r="T191" s="4">
        <v>140361.85</v>
      </c>
      <c r="U191" s="5" t="s">
        <v>818</v>
      </c>
      <c r="V191" s="5" t="s">
        <v>36</v>
      </c>
      <c r="W191" s="4">
        <v>0.0</v>
      </c>
      <c r="X191" s="4">
        <v>0.0</v>
      </c>
      <c r="Y191" s="4">
        <v>1.0</v>
      </c>
      <c r="Z191" s="4">
        <v>1.0</v>
      </c>
      <c r="AA191" s="4">
        <v>7.0</v>
      </c>
      <c r="AB191" s="4">
        <v>8.0</v>
      </c>
      <c r="AC191" s="5" t="s">
        <v>819</v>
      </c>
      <c r="AD191" s="5"/>
      <c r="AE191" s="7" t="s">
        <v>50</v>
      </c>
    </row>
    <row r="192">
      <c r="A192" s="4">
        <v>-8562279.6255</v>
      </c>
      <c r="B192" s="4">
        <v>4706976.9465</v>
      </c>
      <c r="C192" s="4">
        <v>362040.0</v>
      </c>
      <c r="D192" s="5" t="s">
        <v>30</v>
      </c>
      <c r="E192" s="5" t="s">
        <v>820</v>
      </c>
      <c r="F192" s="5" t="s">
        <v>821</v>
      </c>
      <c r="G192" s="5" t="s">
        <v>33</v>
      </c>
      <c r="H192" s="5" t="s">
        <v>34</v>
      </c>
      <c r="I192" s="4">
        <v>2.0</v>
      </c>
      <c r="J192" s="4">
        <v>38.8973889</v>
      </c>
      <c r="K192" s="4">
        <v>-76.91617834</v>
      </c>
      <c r="L192" s="4">
        <v>0.0</v>
      </c>
      <c r="M192" s="4">
        <v>0.0</v>
      </c>
      <c r="N192" s="4">
        <v>2.0</v>
      </c>
      <c r="O192" s="4">
        <v>0.0</v>
      </c>
      <c r="P192" s="4">
        <v>0.0</v>
      </c>
      <c r="Q192" s="5"/>
      <c r="R192" s="4">
        <v>288735.0</v>
      </c>
      <c r="S192" s="4">
        <v>407263.83</v>
      </c>
      <c r="T192" s="4">
        <v>136612.4</v>
      </c>
      <c r="U192" s="5" t="s">
        <v>822</v>
      </c>
      <c r="V192" s="5" t="s">
        <v>36</v>
      </c>
      <c r="W192" s="4">
        <v>0.0</v>
      </c>
      <c r="X192" s="4">
        <v>0.0</v>
      </c>
      <c r="Y192" s="4">
        <v>2.0</v>
      </c>
      <c r="Z192" s="4">
        <v>2.0</v>
      </c>
      <c r="AA192" s="4">
        <v>14.0</v>
      </c>
      <c r="AB192" s="4">
        <v>16.0</v>
      </c>
      <c r="AC192" s="5" t="s">
        <v>823</v>
      </c>
      <c r="AD192" s="5"/>
      <c r="AE192" s="7" t="s">
        <v>50</v>
      </c>
    </row>
    <row r="193">
      <c r="A193" s="4">
        <v>-8567704.1979</v>
      </c>
      <c r="B193" s="4">
        <v>4701487.8643</v>
      </c>
      <c r="C193" s="4">
        <v>362041.0</v>
      </c>
      <c r="D193" s="5" t="s">
        <v>30</v>
      </c>
      <c r="E193" s="5" t="s">
        <v>824</v>
      </c>
      <c r="F193" s="5" t="s">
        <v>825</v>
      </c>
      <c r="G193" s="5" t="s">
        <v>33</v>
      </c>
      <c r="H193" s="5" t="s">
        <v>34</v>
      </c>
      <c r="I193" s="4">
        <v>2.0</v>
      </c>
      <c r="J193" s="4">
        <v>38.85892548</v>
      </c>
      <c r="K193" s="4">
        <v>-76.96505811</v>
      </c>
      <c r="L193" s="4">
        <v>0.0</v>
      </c>
      <c r="M193" s="4">
        <v>0.0</v>
      </c>
      <c r="N193" s="4">
        <v>2.0</v>
      </c>
      <c r="O193" s="4">
        <v>0.0</v>
      </c>
      <c r="P193" s="4">
        <v>0.0</v>
      </c>
      <c r="Q193" s="8"/>
      <c r="R193" s="4">
        <v>45976.0</v>
      </c>
      <c r="S193" s="4">
        <v>403038.3</v>
      </c>
      <c r="T193" s="4">
        <v>132348.47</v>
      </c>
      <c r="U193" s="5" t="s">
        <v>826</v>
      </c>
      <c r="V193" s="5" t="s">
        <v>36</v>
      </c>
      <c r="W193" s="4">
        <v>0.0</v>
      </c>
      <c r="X193" s="4">
        <v>0.0</v>
      </c>
      <c r="Y193" s="4">
        <v>2.0</v>
      </c>
      <c r="Z193" s="4">
        <v>2.0</v>
      </c>
      <c r="AA193" s="4">
        <v>10.0</v>
      </c>
      <c r="AB193" s="4">
        <v>12.0</v>
      </c>
      <c r="AC193" s="5" t="s">
        <v>827</v>
      </c>
      <c r="AD193" s="5"/>
      <c r="AE193" s="7" t="s">
        <v>50</v>
      </c>
    </row>
    <row r="194">
      <c r="A194" s="4">
        <v>-8575421.7843</v>
      </c>
      <c r="B194" s="4">
        <v>4710842.2957</v>
      </c>
      <c r="C194" s="4">
        <v>362042.0</v>
      </c>
      <c r="D194" s="5" t="s">
        <v>114</v>
      </c>
      <c r="E194" s="5" t="s">
        <v>828</v>
      </c>
      <c r="F194" s="5" t="s">
        <v>829</v>
      </c>
      <c r="G194" s="5" t="s">
        <v>33</v>
      </c>
      <c r="H194" s="5" t="s">
        <v>34</v>
      </c>
      <c r="I194" s="4">
        <v>2.0</v>
      </c>
      <c r="J194" s="4">
        <v>38.92432228</v>
      </c>
      <c r="K194" s="4">
        <v>-77.03439376</v>
      </c>
      <c r="L194" s="4">
        <v>0.0</v>
      </c>
      <c r="M194" s="4">
        <v>0.0</v>
      </c>
      <c r="N194" s="4">
        <v>2.0</v>
      </c>
      <c r="O194" s="4">
        <v>0.0</v>
      </c>
      <c r="P194" s="4">
        <v>0.0</v>
      </c>
      <c r="Q194" s="8"/>
      <c r="R194" s="4">
        <v>234284.0</v>
      </c>
      <c r="S194" s="4">
        <v>397023.77</v>
      </c>
      <c r="T194" s="4">
        <v>139608.94</v>
      </c>
      <c r="U194" s="5" t="s">
        <v>830</v>
      </c>
      <c r="V194" s="5" t="s">
        <v>36</v>
      </c>
      <c r="W194" s="4">
        <v>0.0</v>
      </c>
      <c r="X194" s="4">
        <v>0.0</v>
      </c>
      <c r="Y194" s="4">
        <v>2.0</v>
      </c>
      <c r="Z194" s="4">
        <v>2.0</v>
      </c>
      <c r="AA194" s="4">
        <v>17.0</v>
      </c>
      <c r="AB194" s="4">
        <v>19.0</v>
      </c>
      <c r="AC194" s="5" t="s">
        <v>606</v>
      </c>
      <c r="AD194" s="5"/>
      <c r="AE194" s="7" t="s">
        <v>50</v>
      </c>
    </row>
    <row r="195">
      <c r="A195" s="4">
        <v>-8575273.9074</v>
      </c>
      <c r="B195" s="4">
        <v>4709126.2838</v>
      </c>
      <c r="C195" s="4">
        <v>362043.0</v>
      </c>
      <c r="D195" s="5" t="s">
        <v>442</v>
      </c>
      <c r="E195" s="5" t="s">
        <v>831</v>
      </c>
      <c r="F195" s="5" t="s">
        <v>832</v>
      </c>
      <c r="G195" s="5" t="s">
        <v>33</v>
      </c>
      <c r="H195" s="5" t="s">
        <v>81</v>
      </c>
      <c r="I195" s="4">
        <v>46.0</v>
      </c>
      <c r="J195" s="4">
        <v>38.91235692</v>
      </c>
      <c r="K195" s="4">
        <v>-77.03299387</v>
      </c>
      <c r="L195" s="4">
        <v>5.0</v>
      </c>
      <c r="M195" s="4">
        <v>0.0</v>
      </c>
      <c r="N195" s="4">
        <v>37.0</v>
      </c>
      <c r="O195" s="4">
        <v>4.0</v>
      </c>
      <c r="P195" s="4">
        <v>0.0</v>
      </c>
      <c r="Q195" s="9"/>
      <c r="R195" s="4">
        <v>240186.0</v>
      </c>
      <c r="S195" s="4">
        <v>397138.48</v>
      </c>
      <c r="T195" s="4">
        <v>138277.5</v>
      </c>
      <c r="U195" s="5" t="s">
        <v>833</v>
      </c>
      <c r="V195" s="5" t="s">
        <v>36</v>
      </c>
      <c r="W195" s="4">
        <v>42.0</v>
      </c>
      <c r="X195" s="4">
        <v>0.0</v>
      </c>
      <c r="Y195" s="4">
        <v>4.0</v>
      </c>
      <c r="Z195" s="4">
        <v>4.0</v>
      </c>
      <c r="AA195" s="4">
        <v>0.0</v>
      </c>
      <c r="AB195" s="4">
        <v>46.0</v>
      </c>
      <c r="AC195" s="5" t="s">
        <v>834</v>
      </c>
      <c r="AD195" s="5"/>
      <c r="AE195" s="7" t="s">
        <v>50</v>
      </c>
    </row>
    <row r="196">
      <c r="A196" s="4">
        <v>-8572902.6123</v>
      </c>
      <c r="B196" s="4">
        <v>4708003.8398</v>
      </c>
      <c r="C196" s="4">
        <v>362044.0</v>
      </c>
      <c r="D196" s="5" t="s">
        <v>39</v>
      </c>
      <c r="E196" s="5" t="s">
        <v>835</v>
      </c>
      <c r="F196" s="5" t="s">
        <v>836</v>
      </c>
      <c r="G196" s="5" t="s">
        <v>33</v>
      </c>
      <c r="H196" s="5" t="s">
        <v>837</v>
      </c>
      <c r="I196" s="4">
        <v>118.0</v>
      </c>
      <c r="J196" s="4">
        <v>38.90451043</v>
      </c>
      <c r="K196" s="4">
        <v>-77.01169217</v>
      </c>
      <c r="L196" s="4">
        <v>12.0</v>
      </c>
      <c r="M196" s="4">
        <v>64.0</v>
      </c>
      <c r="N196" s="4">
        <v>0.0</v>
      </c>
      <c r="O196" s="4">
        <v>42.0</v>
      </c>
      <c r="P196" s="4">
        <v>0.0</v>
      </c>
      <c r="Q196" s="9" t="s">
        <v>838</v>
      </c>
      <c r="R196" s="4">
        <v>334557.0</v>
      </c>
      <c r="S196" s="4">
        <v>398985.84</v>
      </c>
      <c r="T196" s="4">
        <v>137406.06</v>
      </c>
      <c r="U196" s="5" t="s">
        <v>839</v>
      </c>
      <c r="V196" s="5" t="s">
        <v>36</v>
      </c>
      <c r="W196" s="4">
        <v>118.0</v>
      </c>
      <c r="X196" s="4">
        <v>0.0</v>
      </c>
      <c r="Y196" s="4">
        <v>0.0</v>
      </c>
      <c r="Z196" s="4">
        <v>0.0</v>
      </c>
      <c r="AA196" s="4">
        <v>443.0</v>
      </c>
      <c r="AB196" s="4">
        <v>561.0</v>
      </c>
      <c r="AC196" s="5" t="s">
        <v>840</v>
      </c>
      <c r="AD196" s="5"/>
      <c r="AE196" s="5"/>
    </row>
    <row r="197">
      <c r="A197" s="4">
        <v>-8574940.2976</v>
      </c>
      <c r="B197" s="4">
        <v>4712127.8218</v>
      </c>
      <c r="C197" s="4">
        <v>362045.0</v>
      </c>
      <c r="D197" s="5" t="s">
        <v>114</v>
      </c>
      <c r="E197" s="5" t="s">
        <v>841</v>
      </c>
      <c r="F197" s="5" t="s">
        <v>842</v>
      </c>
      <c r="G197" s="5" t="s">
        <v>33</v>
      </c>
      <c r="H197" s="5" t="s">
        <v>34</v>
      </c>
      <c r="I197" s="4">
        <v>1.0</v>
      </c>
      <c r="J197" s="4">
        <v>38.93334742</v>
      </c>
      <c r="K197" s="4">
        <v>-77.02995491</v>
      </c>
      <c r="L197" s="4">
        <v>0.0</v>
      </c>
      <c r="M197" s="4">
        <v>0.0</v>
      </c>
      <c r="N197" s="4">
        <v>0.0</v>
      </c>
      <c r="O197" s="4">
        <v>1.0</v>
      </c>
      <c r="P197" s="4">
        <v>0.0</v>
      </c>
      <c r="Q197" s="5"/>
      <c r="R197" s="4">
        <v>230672.0</v>
      </c>
      <c r="S197" s="4">
        <v>397399.16</v>
      </c>
      <c r="T197" s="4">
        <v>140606.06</v>
      </c>
      <c r="U197" s="5" t="s">
        <v>843</v>
      </c>
      <c r="V197" s="5" t="s">
        <v>36</v>
      </c>
      <c r="W197" s="4">
        <v>0.0</v>
      </c>
      <c r="X197" s="4">
        <v>0.0</v>
      </c>
      <c r="Y197" s="4">
        <v>1.0</v>
      </c>
      <c r="Z197" s="4">
        <v>1.0</v>
      </c>
      <c r="AA197" s="4">
        <v>3.0</v>
      </c>
      <c r="AB197" s="4">
        <v>4.0</v>
      </c>
      <c r="AC197" s="5" t="s">
        <v>844</v>
      </c>
      <c r="AD197" s="5"/>
      <c r="AE197" s="7" t="s">
        <v>50</v>
      </c>
    </row>
    <row r="198">
      <c r="A198" s="4">
        <v>-8570214.1439</v>
      </c>
      <c r="B198" s="4">
        <v>4704615.9284</v>
      </c>
      <c r="C198" s="4">
        <v>362046.0</v>
      </c>
      <c r="D198" s="5" t="s">
        <v>39</v>
      </c>
      <c r="E198" s="5" t="s">
        <v>845</v>
      </c>
      <c r="F198" s="5" t="s">
        <v>846</v>
      </c>
      <c r="G198" s="5" t="s">
        <v>33</v>
      </c>
      <c r="H198" s="5" t="s">
        <v>34</v>
      </c>
      <c r="I198" s="4">
        <v>1.0</v>
      </c>
      <c r="J198" s="4">
        <v>38.88082317</v>
      </c>
      <c r="K198" s="4">
        <v>-76.98754126</v>
      </c>
      <c r="L198" s="4">
        <v>0.0</v>
      </c>
      <c r="M198" s="4">
        <v>0.0</v>
      </c>
      <c r="N198" s="4">
        <v>1.0</v>
      </c>
      <c r="O198" s="4">
        <v>0.0</v>
      </c>
      <c r="P198" s="4">
        <v>0.0</v>
      </c>
      <c r="Q198" s="5"/>
      <c r="R198" s="4">
        <v>67017.0</v>
      </c>
      <c r="S198" s="4">
        <v>401081.01</v>
      </c>
      <c r="T198" s="4">
        <v>134776.56</v>
      </c>
      <c r="U198" s="5" t="s">
        <v>847</v>
      </c>
      <c r="V198" s="5" t="s">
        <v>36</v>
      </c>
      <c r="W198" s="4">
        <v>0.0</v>
      </c>
      <c r="X198" s="4">
        <v>0.0</v>
      </c>
      <c r="Y198" s="4">
        <v>1.0</v>
      </c>
      <c r="Z198" s="4">
        <v>1.0</v>
      </c>
      <c r="AA198" s="4">
        <v>10.0</v>
      </c>
      <c r="AB198" s="4">
        <v>11.0</v>
      </c>
      <c r="AC198" s="5" t="s">
        <v>212</v>
      </c>
      <c r="AD198" s="5"/>
      <c r="AE198" s="7" t="s">
        <v>50</v>
      </c>
    </row>
    <row r="199">
      <c r="A199" s="4">
        <v>-8573849.825</v>
      </c>
      <c r="B199" s="4">
        <v>4715475.4654</v>
      </c>
      <c r="C199" s="4">
        <v>362047.0</v>
      </c>
      <c r="D199" s="5" t="s">
        <v>51</v>
      </c>
      <c r="E199" s="5" t="s">
        <v>848</v>
      </c>
      <c r="F199" s="5" t="s">
        <v>849</v>
      </c>
      <c r="G199" s="5" t="s">
        <v>33</v>
      </c>
      <c r="H199" s="5" t="s">
        <v>34</v>
      </c>
      <c r="I199" s="4">
        <v>1.0</v>
      </c>
      <c r="J199" s="4">
        <v>38.95663941</v>
      </c>
      <c r="K199" s="4">
        <v>-77.02020144</v>
      </c>
      <c r="L199" s="4">
        <v>0.0</v>
      </c>
      <c r="M199" s="4">
        <v>1.0</v>
      </c>
      <c r="N199" s="4">
        <v>0.0</v>
      </c>
      <c r="O199" s="4">
        <v>0.0</v>
      </c>
      <c r="P199" s="4">
        <v>0.0</v>
      </c>
      <c r="Q199" s="5"/>
      <c r="R199" s="4">
        <v>246744.0</v>
      </c>
      <c r="S199" s="4">
        <v>398249.07</v>
      </c>
      <c r="T199" s="4">
        <v>143202.19</v>
      </c>
      <c r="U199" s="5" t="s">
        <v>850</v>
      </c>
      <c r="V199" s="5" t="s">
        <v>36</v>
      </c>
      <c r="W199" s="4">
        <v>0.0</v>
      </c>
      <c r="X199" s="4">
        <v>0.0</v>
      </c>
      <c r="Y199" s="4">
        <v>1.0</v>
      </c>
      <c r="Z199" s="4">
        <v>1.0</v>
      </c>
      <c r="AA199" s="4">
        <v>9.0</v>
      </c>
      <c r="AB199" s="4">
        <v>10.0</v>
      </c>
      <c r="AC199" s="5" t="s">
        <v>851</v>
      </c>
      <c r="AD199" s="5"/>
      <c r="AE199" s="7" t="s">
        <v>50</v>
      </c>
    </row>
    <row r="200">
      <c r="A200" s="4">
        <v>-8580515.4728</v>
      </c>
      <c r="B200" s="4">
        <v>4714597.4859</v>
      </c>
      <c r="C200" s="4">
        <v>362048.0</v>
      </c>
      <c r="D200" s="5" t="s">
        <v>341</v>
      </c>
      <c r="E200" s="5" t="s">
        <v>852</v>
      </c>
      <c r="F200" s="5" t="s">
        <v>853</v>
      </c>
      <c r="G200" s="5" t="s">
        <v>310</v>
      </c>
      <c r="H200" s="5" t="s">
        <v>34</v>
      </c>
      <c r="I200" s="4">
        <v>1.0</v>
      </c>
      <c r="J200" s="4">
        <v>38.95058921</v>
      </c>
      <c r="K200" s="4">
        <v>-77.08007964</v>
      </c>
      <c r="L200" s="4">
        <v>0.0</v>
      </c>
      <c r="M200" s="4">
        <v>1.0</v>
      </c>
      <c r="N200" s="4">
        <v>0.0</v>
      </c>
      <c r="O200" s="4">
        <v>0.0</v>
      </c>
      <c r="P200" s="4">
        <v>0.0</v>
      </c>
      <c r="Q200" s="5"/>
      <c r="R200" s="4">
        <v>331205.0</v>
      </c>
      <c r="S200" s="4">
        <v>393058.51</v>
      </c>
      <c r="T200" s="4">
        <v>142524.18</v>
      </c>
      <c r="U200" s="5" t="s">
        <v>854</v>
      </c>
      <c r="V200" s="5" t="s">
        <v>36</v>
      </c>
      <c r="W200" s="4">
        <v>0.0</v>
      </c>
      <c r="X200" s="4">
        <v>0.0</v>
      </c>
      <c r="Y200" s="4">
        <v>1.0</v>
      </c>
      <c r="Z200" s="4">
        <v>1.0</v>
      </c>
      <c r="AA200" s="4">
        <v>9.0</v>
      </c>
      <c r="AB200" s="4">
        <v>10.0</v>
      </c>
      <c r="AC200" s="5"/>
      <c r="AD200" s="5"/>
      <c r="AE200" s="7" t="s">
        <v>855</v>
      </c>
    </row>
    <row r="201">
      <c r="A201" s="4">
        <v>-8569373.3137</v>
      </c>
      <c r="B201" s="4">
        <v>4708195.0679</v>
      </c>
      <c r="C201" s="4">
        <v>362049.0</v>
      </c>
      <c r="D201" s="5" t="s">
        <v>56</v>
      </c>
      <c r="E201" s="5" t="s">
        <v>856</v>
      </c>
      <c r="F201" s="5" t="s">
        <v>857</v>
      </c>
      <c r="G201" s="5" t="s">
        <v>33</v>
      </c>
      <c r="H201" s="5" t="s">
        <v>34</v>
      </c>
      <c r="I201" s="4">
        <v>4.0</v>
      </c>
      <c r="J201" s="4">
        <v>38.90574028</v>
      </c>
      <c r="K201" s="4">
        <v>-76.97994878</v>
      </c>
      <c r="L201" s="4">
        <v>0.0</v>
      </c>
      <c r="M201" s="4">
        <v>1.0</v>
      </c>
      <c r="N201" s="4">
        <v>3.0</v>
      </c>
      <c r="O201" s="4">
        <v>0.0</v>
      </c>
      <c r="P201" s="4">
        <v>0.0</v>
      </c>
      <c r="Q201" s="5"/>
      <c r="R201" s="4">
        <v>300734.0</v>
      </c>
      <c r="S201" s="4">
        <v>401735.78</v>
      </c>
      <c r="T201" s="4">
        <v>137554.58</v>
      </c>
      <c r="U201" s="5" t="s">
        <v>858</v>
      </c>
      <c r="V201" s="5" t="s">
        <v>36</v>
      </c>
      <c r="W201" s="4">
        <v>0.0</v>
      </c>
      <c r="X201" s="4">
        <v>0.0</v>
      </c>
      <c r="Y201" s="4">
        <v>4.0</v>
      </c>
      <c r="Z201" s="4">
        <v>4.0</v>
      </c>
      <c r="AA201" s="4">
        <v>37.0</v>
      </c>
      <c r="AB201" s="4">
        <v>41.0</v>
      </c>
      <c r="AC201" s="5" t="s">
        <v>859</v>
      </c>
      <c r="AD201" s="5"/>
      <c r="AE201" s="7" t="s">
        <v>50</v>
      </c>
    </row>
    <row r="202">
      <c r="A202" s="4">
        <v>-8568923.1849</v>
      </c>
      <c r="B202" s="4">
        <v>4707150.9298</v>
      </c>
      <c r="C202" s="4">
        <v>362051.0</v>
      </c>
      <c r="D202" s="5" t="s">
        <v>30</v>
      </c>
      <c r="E202" s="5" t="s">
        <v>860</v>
      </c>
      <c r="F202" s="5" t="s">
        <v>861</v>
      </c>
      <c r="G202" s="5" t="s">
        <v>33</v>
      </c>
      <c r="H202" s="5" t="s">
        <v>34</v>
      </c>
      <c r="I202" s="4">
        <v>1.0</v>
      </c>
      <c r="J202" s="4">
        <v>38.89857758</v>
      </c>
      <c r="K202" s="4">
        <v>-76.97593445</v>
      </c>
      <c r="L202" s="4">
        <v>0.0</v>
      </c>
      <c r="M202" s="4">
        <v>1.0</v>
      </c>
      <c r="N202" s="4">
        <v>0.0</v>
      </c>
      <c r="O202" s="4">
        <v>0.0</v>
      </c>
      <c r="P202" s="4">
        <v>0.0</v>
      </c>
      <c r="Q202" s="9"/>
      <c r="R202" s="4">
        <v>54022.0</v>
      </c>
      <c r="S202" s="4">
        <v>402086.72</v>
      </c>
      <c r="T202" s="4">
        <v>136744.37</v>
      </c>
      <c r="U202" s="5" t="s">
        <v>862</v>
      </c>
      <c r="V202" s="5" t="s">
        <v>36</v>
      </c>
      <c r="W202" s="4">
        <v>0.0</v>
      </c>
      <c r="X202" s="4">
        <v>0.0</v>
      </c>
      <c r="Y202" s="4">
        <v>1.0</v>
      </c>
      <c r="Z202" s="4">
        <v>1.0</v>
      </c>
      <c r="AA202" s="4">
        <v>8.0</v>
      </c>
      <c r="AB202" s="4">
        <v>9.0</v>
      </c>
      <c r="AC202" s="5" t="s">
        <v>281</v>
      </c>
      <c r="AD202" s="5"/>
      <c r="AE202" s="7" t="s">
        <v>50</v>
      </c>
    </row>
    <row r="203">
      <c r="A203" s="4">
        <v>-8570561.1163</v>
      </c>
      <c r="B203" s="4">
        <v>4701906.7878</v>
      </c>
      <c r="C203" s="4">
        <v>362053.0</v>
      </c>
      <c r="D203" s="5" t="s">
        <v>45</v>
      </c>
      <c r="E203" s="5" t="s">
        <v>863</v>
      </c>
      <c r="F203" s="5" t="s">
        <v>864</v>
      </c>
      <c r="G203" s="5" t="s">
        <v>310</v>
      </c>
      <c r="H203" s="5" t="s">
        <v>34</v>
      </c>
      <c r="I203" s="4">
        <v>1.0</v>
      </c>
      <c r="J203" s="4">
        <v>38.86189951</v>
      </c>
      <c r="K203" s="4">
        <v>-76.99068051</v>
      </c>
      <c r="L203" s="4">
        <v>0.0</v>
      </c>
      <c r="M203" s="4">
        <v>0.0</v>
      </c>
      <c r="N203" s="4">
        <v>0.0</v>
      </c>
      <c r="O203" s="4">
        <v>1.0</v>
      </c>
      <c r="P203" s="4">
        <v>0.0</v>
      </c>
      <c r="Q203" s="8"/>
      <c r="R203" s="4">
        <v>285994.0</v>
      </c>
      <c r="S203" s="4">
        <v>400810.78</v>
      </c>
      <c r="T203" s="4">
        <v>132673.22</v>
      </c>
      <c r="U203" s="5" t="s">
        <v>865</v>
      </c>
      <c r="V203" s="5" t="s">
        <v>36</v>
      </c>
      <c r="W203" s="4">
        <v>0.0</v>
      </c>
      <c r="X203" s="4">
        <v>0.0</v>
      </c>
      <c r="Y203" s="4">
        <v>1.0</v>
      </c>
      <c r="Z203" s="4">
        <v>1.0</v>
      </c>
      <c r="AA203" s="4">
        <v>11.0</v>
      </c>
      <c r="AB203" s="4">
        <v>12.0</v>
      </c>
      <c r="AC203" s="5"/>
      <c r="AD203" s="5"/>
      <c r="AE203" s="7" t="s">
        <v>855</v>
      </c>
    </row>
    <row r="204">
      <c r="A204" s="4">
        <v>-8573634.4332</v>
      </c>
      <c r="B204" s="4">
        <v>4704353.9555</v>
      </c>
      <c r="C204" s="4">
        <v>362055.0</v>
      </c>
      <c r="D204" s="5" t="s">
        <v>39</v>
      </c>
      <c r="E204" s="5" t="s">
        <v>866</v>
      </c>
      <c r="F204" s="5" t="s">
        <v>867</v>
      </c>
      <c r="G204" s="5" t="s">
        <v>310</v>
      </c>
      <c r="H204" s="5" t="s">
        <v>374</v>
      </c>
      <c r="I204" s="4">
        <v>123.0</v>
      </c>
      <c r="J204" s="4">
        <v>38.87899085</v>
      </c>
      <c r="K204" s="4">
        <v>-77.01826623</v>
      </c>
      <c r="L204" s="4">
        <v>0.0</v>
      </c>
      <c r="M204" s="4">
        <v>0.0</v>
      </c>
      <c r="N204" s="4">
        <v>123.0</v>
      </c>
      <c r="O204" s="4">
        <v>0.0</v>
      </c>
      <c r="P204" s="4">
        <v>0.0</v>
      </c>
      <c r="Q204" s="8" t="s">
        <v>868</v>
      </c>
      <c r="R204" s="4">
        <v>150785.0</v>
      </c>
      <c r="S204" s="4">
        <v>398415.05</v>
      </c>
      <c r="T204" s="4">
        <v>134573.28</v>
      </c>
      <c r="U204" s="5" t="s">
        <v>869</v>
      </c>
      <c r="V204" s="5" t="s">
        <v>36</v>
      </c>
      <c r="W204" s="4">
        <v>0.0</v>
      </c>
      <c r="X204" s="4">
        <v>0.0</v>
      </c>
      <c r="Y204" s="4">
        <v>123.0</v>
      </c>
      <c r="Z204" s="4">
        <v>123.0</v>
      </c>
      <c r="AA204" s="4">
        <v>99.0</v>
      </c>
      <c r="AB204" s="4">
        <v>222.0</v>
      </c>
      <c r="AC204" s="5"/>
      <c r="AD204" s="5"/>
      <c r="AE204" s="10" t="s">
        <v>870</v>
      </c>
    </row>
    <row r="205">
      <c r="A205" s="4">
        <v>-8573003.9909</v>
      </c>
      <c r="B205" s="4">
        <v>4707467.795</v>
      </c>
      <c r="C205" s="4">
        <v>362056.0</v>
      </c>
      <c r="D205" s="5" t="s">
        <v>39</v>
      </c>
      <c r="E205" s="5" t="s">
        <v>871</v>
      </c>
      <c r="F205" s="5" t="s">
        <v>872</v>
      </c>
      <c r="G205" s="5" t="s">
        <v>33</v>
      </c>
      <c r="H205" s="5" t="s">
        <v>34</v>
      </c>
      <c r="I205" s="4">
        <v>27.0</v>
      </c>
      <c r="J205" s="4">
        <v>38.90076337</v>
      </c>
      <c r="K205" s="4">
        <v>-77.01260287</v>
      </c>
      <c r="L205" s="4">
        <v>0.0</v>
      </c>
      <c r="M205" s="4">
        <v>0.0</v>
      </c>
      <c r="N205" s="4">
        <v>27.0</v>
      </c>
      <c r="O205" s="4">
        <v>0.0</v>
      </c>
      <c r="P205" s="4">
        <v>0.0</v>
      </c>
      <c r="Q205" s="9"/>
      <c r="R205" s="4">
        <v>310302.0</v>
      </c>
      <c r="S205" s="4">
        <v>398906.79</v>
      </c>
      <c r="T205" s="4">
        <v>136990.08</v>
      </c>
      <c r="U205" s="5" t="s">
        <v>873</v>
      </c>
      <c r="V205" s="5" t="s">
        <v>36</v>
      </c>
      <c r="W205" s="4">
        <v>0.0</v>
      </c>
      <c r="X205" s="4">
        <v>0.0</v>
      </c>
      <c r="Y205" s="4">
        <v>27.0</v>
      </c>
      <c r="Z205" s="4">
        <v>27.0</v>
      </c>
      <c r="AA205" s="4">
        <v>300.0</v>
      </c>
      <c r="AB205" s="4">
        <v>327.0</v>
      </c>
      <c r="AC205" s="5" t="s">
        <v>687</v>
      </c>
      <c r="AD205" s="5"/>
      <c r="AE205" s="7" t="s">
        <v>50</v>
      </c>
    </row>
    <row r="206">
      <c r="A206" s="4">
        <v>-8567659.2252</v>
      </c>
      <c r="B206" s="4">
        <v>4700506.3588</v>
      </c>
      <c r="C206" s="4">
        <v>362058.0</v>
      </c>
      <c r="D206" s="5" t="s">
        <v>45</v>
      </c>
      <c r="E206" s="5" t="s">
        <v>874</v>
      </c>
      <c r="F206" s="5" t="s">
        <v>875</v>
      </c>
      <c r="G206" s="5" t="s">
        <v>33</v>
      </c>
      <c r="H206" s="5" t="s">
        <v>34</v>
      </c>
      <c r="I206" s="4">
        <v>2.0</v>
      </c>
      <c r="J206" s="4">
        <v>38.85198087</v>
      </c>
      <c r="K206" s="4">
        <v>-76.96472211</v>
      </c>
      <c r="L206" s="4">
        <v>0.0</v>
      </c>
      <c r="M206" s="4">
        <v>0.0</v>
      </c>
      <c r="N206" s="4">
        <v>2.0</v>
      </c>
      <c r="O206" s="4">
        <v>0.0</v>
      </c>
      <c r="P206" s="4">
        <v>0.0</v>
      </c>
      <c r="Q206" s="9"/>
      <c r="R206" s="4">
        <v>41241.0</v>
      </c>
      <c r="S206" s="4">
        <v>403073.66</v>
      </c>
      <c r="T206" s="4">
        <v>131586.3</v>
      </c>
      <c r="U206" s="5" t="s">
        <v>876</v>
      </c>
      <c r="V206" s="5" t="s">
        <v>36</v>
      </c>
      <c r="W206" s="4">
        <v>0.0</v>
      </c>
      <c r="X206" s="4">
        <v>0.0</v>
      </c>
      <c r="Y206" s="4">
        <v>2.0</v>
      </c>
      <c r="Z206" s="4">
        <v>2.0</v>
      </c>
      <c r="AA206" s="4">
        <v>14.0</v>
      </c>
      <c r="AB206" s="4">
        <v>16.0</v>
      </c>
      <c r="AC206" s="5" t="s">
        <v>877</v>
      </c>
      <c r="AD206" s="5"/>
      <c r="AE206" s="7" t="s">
        <v>50</v>
      </c>
    </row>
    <row r="207">
      <c r="A207" s="4">
        <v>-8573380.7241</v>
      </c>
      <c r="B207" s="4">
        <v>4718138.2816</v>
      </c>
      <c r="C207" s="4">
        <v>362059.0</v>
      </c>
      <c r="D207" s="5" t="s">
        <v>51</v>
      </c>
      <c r="E207" s="5" t="s">
        <v>878</v>
      </c>
      <c r="F207" s="5" t="s">
        <v>879</v>
      </c>
      <c r="G207" s="5" t="s">
        <v>33</v>
      </c>
      <c r="H207" s="5" t="s">
        <v>34</v>
      </c>
      <c r="I207" s="4">
        <v>4.0</v>
      </c>
      <c r="J207" s="4">
        <v>38.97529273</v>
      </c>
      <c r="K207" s="4">
        <v>-77.0159428</v>
      </c>
      <c r="L207" s="4">
        <v>0.0</v>
      </c>
      <c r="M207" s="4">
        <v>0.0</v>
      </c>
      <c r="N207" s="4">
        <v>4.0</v>
      </c>
      <c r="O207" s="4">
        <v>0.0</v>
      </c>
      <c r="P207" s="4">
        <v>0.0</v>
      </c>
      <c r="Q207" s="5"/>
      <c r="R207" s="4">
        <v>245144.0</v>
      </c>
      <c r="S207" s="4">
        <v>398614.68</v>
      </c>
      <c r="T207" s="4">
        <v>145266.74</v>
      </c>
      <c r="U207" s="5" t="s">
        <v>880</v>
      </c>
      <c r="V207" s="5" t="s">
        <v>36</v>
      </c>
      <c r="W207" s="4">
        <v>0.0</v>
      </c>
      <c r="X207" s="4">
        <v>0.0</v>
      </c>
      <c r="Y207" s="4">
        <v>4.0</v>
      </c>
      <c r="Z207" s="4">
        <v>4.0</v>
      </c>
      <c r="AA207" s="4">
        <v>32.0</v>
      </c>
      <c r="AB207" s="4">
        <v>36.0</v>
      </c>
      <c r="AC207" s="5" t="s">
        <v>881</v>
      </c>
      <c r="AD207" s="5"/>
      <c r="AE207" s="7" t="s">
        <v>50</v>
      </c>
    </row>
    <row r="208">
      <c r="A208" s="4">
        <v>-8569646.1412</v>
      </c>
      <c r="B208" s="4">
        <v>4702509.676</v>
      </c>
      <c r="C208" s="4">
        <v>362061.0</v>
      </c>
      <c r="D208" s="5" t="s">
        <v>45</v>
      </c>
      <c r="E208" s="5" t="s">
        <v>882</v>
      </c>
      <c r="F208" s="5" t="s">
        <v>883</v>
      </c>
      <c r="G208" s="5" t="s">
        <v>310</v>
      </c>
      <c r="H208" s="5" t="s">
        <v>34</v>
      </c>
      <c r="I208" s="4">
        <v>2.0</v>
      </c>
      <c r="J208" s="4">
        <v>38.86609237</v>
      </c>
      <c r="K208" s="4">
        <v>-76.9824388</v>
      </c>
      <c r="L208" s="4">
        <v>0.0</v>
      </c>
      <c r="M208" s="4">
        <v>1.0</v>
      </c>
      <c r="N208" s="4">
        <v>1.0</v>
      </c>
      <c r="O208" s="4">
        <v>0.0</v>
      </c>
      <c r="P208" s="4">
        <v>0.0</v>
      </c>
      <c r="Q208" s="9"/>
      <c r="R208" s="4">
        <v>61275.0</v>
      </c>
      <c r="S208" s="4">
        <v>401524.05</v>
      </c>
      <c r="T208" s="4">
        <v>133141.44</v>
      </c>
      <c r="U208" s="5" t="s">
        <v>884</v>
      </c>
      <c r="V208" s="5" t="s">
        <v>36</v>
      </c>
      <c r="W208" s="4">
        <v>0.0</v>
      </c>
      <c r="X208" s="4">
        <v>0.0</v>
      </c>
      <c r="Y208" s="4">
        <v>2.0</v>
      </c>
      <c r="Z208" s="4">
        <v>2.0</v>
      </c>
      <c r="AA208" s="4">
        <v>12.0</v>
      </c>
      <c r="AB208" s="4">
        <v>14.0</v>
      </c>
      <c r="AC208" s="5"/>
      <c r="AD208" s="5"/>
      <c r="AE208" s="7" t="s">
        <v>855</v>
      </c>
    </row>
    <row r="209">
      <c r="A209" s="4">
        <v>-8568706.5394</v>
      </c>
      <c r="B209" s="4">
        <v>4703626.0817</v>
      </c>
      <c r="C209" s="4">
        <v>362062.0</v>
      </c>
      <c r="D209" s="5" t="s">
        <v>30</v>
      </c>
      <c r="E209" s="5" t="s">
        <v>885</v>
      </c>
      <c r="F209" s="5" t="s">
        <v>886</v>
      </c>
      <c r="G209" s="5" t="s">
        <v>33</v>
      </c>
      <c r="H209" s="5" t="s">
        <v>34</v>
      </c>
      <c r="I209" s="4">
        <v>1.0</v>
      </c>
      <c r="J209" s="4">
        <v>38.87386007</v>
      </c>
      <c r="K209" s="4">
        <v>-76.97400815</v>
      </c>
      <c r="L209" s="4">
        <v>0.0</v>
      </c>
      <c r="M209" s="4">
        <v>1.0</v>
      </c>
      <c r="N209" s="4">
        <v>0.0</v>
      </c>
      <c r="O209" s="4">
        <v>0.0</v>
      </c>
      <c r="P209" s="4">
        <v>0.0</v>
      </c>
      <c r="Q209" s="9"/>
      <c r="R209" s="4">
        <v>49834.0</v>
      </c>
      <c r="S209" s="4">
        <v>402256.32</v>
      </c>
      <c r="T209" s="4">
        <v>134008.38</v>
      </c>
      <c r="U209" s="5" t="s">
        <v>887</v>
      </c>
      <c r="V209" s="5" t="s">
        <v>36</v>
      </c>
      <c r="W209" s="4">
        <v>0.0</v>
      </c>
      <c r="X209" s="4">
        <v>0.0</v>
      </c>
      <c r="Y209" s="4">
        <v>1.0</v>
      </c>
      <c r="Z209" s="4">
        <v>1.0</v>
      </c>
      <c r="AA209" s="4">
        <v>11.0</v>
      </c>
      <c r="AB209" s="4">
        <v>12.0</v>
      </c>
      <c r="AC209" s="5" t="s">
        <v>888</v>
      </c>
      <c r="AD209" s="5"/>
      <c r="AE209" s="7" t="s">
        <v>50</v>
      </c>
    </row>
    <row r="210">
      <c r="A210" s="4">
        <v>-8569489.3892</v>
      </c>
      <c r="B210" s="4">
        <v>4702598.7191</v>
      </c>
      <c r="C210" s="4">
        <v>362064.0</v>
      </c>
      <c r="D210" s="5" t="s">
        <v>45</v>
      </c>
      <c r="E210" s="5" t="s">
        <v>889</v>
      </c>
      <c r="F210" s="5" t="s">
        <v>890</v>
      </c>
      <c r="G210" s="5" t="s">
        <v>33</v>
      </c>
      <c r="H210" s="5" t="s">
        <v>34</v>
      </c>
      <c r="I210" s="4">
        <v>2.0</v>
      </c>
      <c r="J210" s="4">
        <v>38.86675369</v>
      </c>
      <c r="K210" s="4">
        <v>-76.98101315</v>
      </c>
      <c r="L210" s="4">
        <v>0.0</v>
      </c>
      <c r="M210" s="4">
        <v>0.0</v>
      </c>
      <c r="N210" s="4">
        <v>2.0</v>
      </c>
      <c r="O210" s="4">
        <v>0.0</v>
      </c>
      <c r="P210" s="4">
        <v>0.0</v>
      </c>
      <c r="Q210" s="5"/>
      <c r="R210" s="4">
        <v>54189.0</v>
      </c>
      <c r="S210" s="4">
        <v>401646.24</v>
      </c>
      <c r="T210" s="4">
        <v>133210.6</v>
      </c>
      <c r="U210" s="5" t="s">
        <v>891</v>
      </c>
      <c r="V210" s="5" t="s">
        <v>36</v>
      </c>
      <c r="W210" s="4">
        <v>0.0</v>
      </c>
      <c r="X210" s="4">
        <v>0.0</v>
      </c>
      <c r="Y210" s="4">
        <v>2.0</v>
      </c>
      <c r="Z210" s="4">
        <v>2.0</v>
      </c>
      <c r="AA210" s="4">
        <v>16.0</v>
      </c>
      <c r="AB210" s="4">
        <v>18.0</v>
      </c>
      <c r="AC210" s="5" t="s">
        <v>892</v>
      </c>
      <c r="AD210" s="5"/>
      <c r="AE210" s="7" t="s">
        <v>50</v>
      </c>
    </row>
    <row r="211">
      <c r="A211" s="4">
        <v>-8568957.6726</v>
      </c>
      <c r="B211" s="4">
        <v>4703463.2349</v>
      </c>
      <c r="C211" s="4">
        <v>362065.0</v>
      </c>
      <c r="D211" s="5" t="s">
        <v>45</v>
      </c>
      <c r="E211" s="5" t="s">
        <v>893</v>
      </c>
      <c r="F211" s="5" t="s">
        <v>894</v>
      </c>
      <c r="G211" s="5" t="s">
        <v>33</v>
      </c>
      <c r="H211" s="5" t="s">
        <v>34</v>
      </c>
      <c r="I211" s="4">
        <v>2.0</v>
      </c>
      <c r="J211" s="4">
        <v>38.87280055</v>
      </c>
      <c r="K211" s="4">
        <v>-76.97622041</v>
      </c>
      <c r="L211" s="4">
        <v>0.0</v>
      </c>
      <c r="M211" s="4">
        <v>0.0</v>
      </c>
      <c r="N211" s="4">
        <v>2.0</v>
      </c>
      <c r="O211" s="4">
        <v>0.0</v>
      </c>
      <c r="P211" s="4">
        <v>0.0</v>
      </c>
      <c r="Q211" s="5"/>
      <c r="R211" s="4">
        <v>331139.0</v>
      </c>
      <c r="S211" s="4">
        <v>402060.59</v>
      </c>
      <c r="T211" s="4">
        <v>133881.9</v>
      </c>
      <c r="U211" s="5" t="s">
        <v>895</v>
      </c>
      <c r="V211" s="5" t="s">
        <v>36</v>
      </c>
      <c r="W211" s="4">
        <v>0.0</v>
      </c>
      <c r="X211" s="4">
        <v>0.0</v>
      </c>
      <c r="Y211" s="4">
        <v>2.0</v>
      </c>
      <c r="Z211" s="4">
        <v>2.0</v>
      </c>
      <c r="AA211" s="4">
        <v>18.0</v>
      </c>
      <c r="AB211" s="4">
        <v>20.0</v>
      </c>
      <c r="AC211" s="5" t="s">
        <v>896</v>
      </c>
      <c r="AD211" s="5"/>
      <c r="AE211" s="7" t="s">
        <v>50</v>
      </c>
    </row>
    <row r="212">
      <c r="A212" s="4">
        <v>-8569801.4296</v>
      </c>
      <c r="B212" s="4">
        <v>4705613.4871</v>
      </c>
      <c r="C212" s="4">
        <v>362066.0</v>
      </c>
      <c r="D212" s="5" t="s">
        <v>39</v>
      </c>
      <c r="E212" s="5" t="s">
        <v>897</v>
      </c>
      <c r="F212" s="5" t="s">
        <v>898</v>
      </c>
      <c r="G212" s="5" t="s">
        <v>33</v>
      </c>
      <c r="H212" s="5" t="s">
        <v>34</v>
      </c>
      <c r="I212" s="4">
        <v>1.0</v>
      </c>
      <c r="J212" s="4">
        <v>38.88779838</v>
      </c>
      <c r="K212" s="4">
        <v>-76.98383378</v>
      </c>
      <c r="L212" s="4">
        <v>0.0</v>
      </c>
      <c r="M212" s="4">
        <v>0.0</v>
      </c>
      <c r="N212" s="4">
        <v>1.0</v>
      </c>
      <c r="O212" s="4">
        <v>0.0</v>
      </c>
      <c r="P212" s="4">
        <v>0.0</v>
      </c>
      <c r="Q212" s="9"/>
      <c r="R212" s="4">
        <v>63178.0</v>
      </c>
      <c r="S212" s="4">
        <v>401402.56</v>
      </c>
      <c r="T212" s="4">
        <v>135550.95</v>
      </c>
      <c r="U212" s="5" t="s">
        <v>899</v>
      </c>
      <c r="V212" s="5" t="s">
        <v>36</v>
      </c>
      <c r="W212" s="4">
        <v>0.0</v>
      </c>
      <c r="X212" s="4">
        <v>0.0</v>
      </c>
      <c r="Y212" s="4">
        <v>1.0</v>
      </c>
      <c r="Z212" s="4">
        <v>1.0</v>
      </c>
      <c r="AA212" s="4">
        <v>6.0</v>
      </c>
      <c r="AB212" s="4">
        <v>7.0</v>
      </c>
      <c r="AC212" s="5" t="s">
        <v>815</v>
      </c>
      <c r="AD212" s="5"/>
      <c r="AE212" s="7" t="s">
        <v>50</v>
      </c>
    </row>
    <row r="213">
      <c r="A213" s="4">
        <v>-8573475.6345</v>
      </c>
      <c r="B213" s="4">
        <v>4715476.973</v>
      </c>
      <c r="C213" s="4">
        <v>362067.0</v>
      </c>
      <c r="D213" s="5" t="s">
        <v>51</v>
      </c>
      <c r="E213" s="5" t="s">
        <v>900</v>
      </c>
      <c r="F213" s="5" t="s">
        <v>901</v>
      </c>
      <c r="G213" s="5" t="s">
        <v>33</v>
      </c>
      <c r="H213" s="5" t="s">
        <v>34</v>
      </c>
      <c r="I213" s="4">
        <v>2.0</v>
      </c>
      <c r="J213" s="4">
        <v>38.95673345</v>
      </c>
      <c r="K213" s="4">
        <v>-77.01683971</v>
      </c>
      <c r="L213" s="4">
        <v>0.0</v>
      </c>
      <c r="M213" s="4">
        <v>0.0</v>
      </c>
      <c r="N213" s="4">
        <v>0.0</v>
      </c>
      <c r="O213" s="4">
        <v>2.0</v>
      </c>
      <c r="P213" s="4">
        <v>0.0</v>
      </c>
      <c r="Q213" s="9"/>
      <c r="R213" s="4">
        <v>284589.0</v>
      </c>
      <c r="S213" s="4">
        <v>398540.42</v>
      </c>
      <c r="T213" s="4">
        <v>143203.3</v>
      </c>
      <c r="U213" s="5" t="s">
        <v>902</v>
      </c>
      <c r="V213" s="5" t="s">
        <v>36</v>
      </c>
      <c r="W213" s="4">
        <v>0.0</v>
      </c>
      <c r="X213" s="4">
        <v>0.0</v>
      </c>
      <c r="Y213" s="4">
        <v>2.0</v>
      </c>
      <c r="Z213" s="4">
        <v>2.0</v>
      </c>
      <c r="AA213" s="4">
        <v>22.0</v>
      </c>
      <c r="AB213" s="4">
        <v>24.0</v>
      </c>
      <c r="AC213" s="5" t="s">
        <v>903</v>
      </c>
      <c r="AD213" s="5"/>
      <c r="AE213" s="7" t="s">
        <v>50</v>
      </c>
    </row>
    <row r="214">
      <c r="A214" s="4">
        <v>-8574644.8224</v>
      </c>
      <c r="B214" s="4">
        <v>4710206.5021</v>
      </c>
      <c r="C214" s="4">
        <v>362068.0</v>
      </c>
      <c r="D214" s="5" t="s">
        <v>114</v>
      </c>
      <c r="E214" s="5" t="s">
        <v>904</v>
      </c>
      <c r="F214" s="5" t="s">
        <v>905</v>
      </c>
      <c r="G214" s="5" t="s">
        <v>33</v>
      </c>
      <c r="H214" s="5" t="s">
        <v>34</v>
      </c>
      <c r="I214" s="4">
        <v>4.0</v>
      </c>
      <c r="J214" s="4">
        <v>38.91988565</v>
      </c>
      <c r="K214" s="4">
        <v>-77.02733243</v>
      </c>
      <c r="L214" s="4">
        <v>0.0</v>
      </c>
      <c r="M214" s="4">
        <v>1.0</v>
      </c>
      <c r="N214" s="4">
        <v>3.0</v>
      </c>
      <c r="O214" s="4">
        <v>0.0</v>
      </c>
      <c r="P214" s="4">
        <v>0.0</v>
      </c>
      <c r="Q214" s="5"/>
      <c r="R214" s="4">
        <v>238963.0</v>
      </c>
      <c r="S214" s="4">
        <v>397628.85</v>
      </c>
      <c r="T214" s="4">
        <v>139115.47</v>
      </c>
      <c r="U214" s="5" t="s">
        <v>906</v>
      </c>
      <c r="V214" s="5" t="s">
        <v>36</v>
      </c>
      <c r="W214" s="4">
        <v>0.0</v>
      </c>
      <c r="X214" s="4">
        <v>0.0</v>
      </c>
      <c r="Y214" s="4">
        <v>4.0</v>
      </c>
      <c r="Z214" s="4">
        <v>4.0</v>
      </c>
      <c r="AA214" s="4">
        <v>56.0</v>
      </c>
      <c r="AB214" s="4">
        <v>60.0</v>
      </c>
      <c r="AC214" s="5" t="s">
        <v>907</v>
      </c>
      <c r="AD214" s="5"/>
      <c r="AE214" s="7" t="s">
        <v>50</v>
      </c>
    </row>
    <row r="215">
      <c r="A215" s="4">
        <v>-8569590.6573</v>
      </c>
      <c r="B215" s="4">
        <v>4702544.9419</v>
      </c>
      <c r="C215" s="4">
        <v>362069.0</v>
      </c>
      <c r="D215" s="5" t="s">
        <v>45</v>
      </c>
      <c r="E215" s="5" t="s">
        <v>908</v>
      </c>
      <c r="F215" s="5" t="s">
        <v>909</v>
      </c>
      <c r="G215" s="5" t="s">
        <v>33</v>
      </c>
      <c r="H215" s="5" t="s">
        <v>34</v>
      </c>
      <c r="I215" s="4">
        <v>3.0</v>
      </c>
      <c r="J215" s="4">
        <v>38.86634493</v>
      </c>
      <c r="K215" s="4">
        <v>-76.98181202</v>
      </c>
      <c r="L215" s="4">
        <v>0.0</v>
      </c>
      <c r="M215" s="4">
        <v>1.0</v>
      </c>
      <c r="N215" s="4">
        <v>2.0</v>
      </c>
      <c r="O215" s="4">
        <v>0.0</v>
      </c>
      <c r="P215" s="4">
        <v>0.0</v>
      </c>
      <c r="Q215" s="5"/>
      <c r="R215" s="4">
        <v>60543.0</v>
      </c>
      <c r="S215" s="4">
        <v>401567.3</v>
      </c>
      <c r="T215" s="4">
        <v>133168.83</v>
      </c>
      <c r="U215" s="5" t="s">
        <v>910</v>
      </c>
      <c r="V215" s="5" t="s">
        <v>36</v>
      </c>
      <c r="W215" s="4">
        <v>0.0</v>
      </c>
      <c r="X215" s="4">
        <v>0.0</v>
      </c>
      <c r="Y215" s="4">
        <v>3.0</v>
      </c>
      <c r="Z215" s="4">
        <v>3.0</v>
      </c>
      <c r="AA215" s="4">
        <v>32.0</v>
      </c>
      <c r="AB215" s="4">
        <v>35.0</v>
      </c>
      <c r="AC215" s="5" t="s">
        <v>911</v>
      </c>
      <c r="AD215" s="5"/>
      <c r="AE215" s="7" t="s">
        <v>50</v>
      </c>
    </row>
    <row r="216">
      <c r="A216" s="4">
        <v>-8571770.4746</v>
      </c>
      <c r="B216" s="4">
        <v>4715451.6634</v>
      </c>
      <c r="C216" s="4">
        <v>362070.0</v>
      </c>
      <c r="D216" s="5" t="s">
        <v>51</v>
      </c>
      <c r="E216" s="5" t="s">
        <v>912</v>
      </c>
      <c r="F216" s="5" t="s">
        <v>913</v>
      </c>
      <c r="G216" s="5" t="s">
        <v>33</v>
      </c>
      <c r="H216" s="5" t="s">
        <v>275</v>
      </c>
      <c r="I216" s="4">
        <v>93.0</v>
      </c>
      <c r="J216" s="4">
        <v>38.95656524</v>
      </c>
      <c r="K216" s="4">
        <v>-77.00151785</v>
      </c>
      <c r="L216" s="4">
        <v>52.0</v>
      </c>
      <c r="M216" s="4">
        <v>41.0</v>
      </c>
      <c r="N216" s="4">
        <v>0.0</v>
      </c>
      <c r="O216" s="4">
        <v>0.0</v>
      </c>
      <c r="P216" s="4">
        <v>0.0</v>
      </c>
      <c r="Q216" s="5"/>
      <c r="R216" s="4">
        <v>295089.0</v>
      </c>
      <c r="S216" s="4">
        <v>399868.08</v>
      </c>
      <c r="T216" s="4">
        <v>143183.54</v>
      </c>
      <c r="U216" s="5" t="s">
        <v>914</v>
      </c>
      <c r="V216" s="5" t="s">
        <v>36</v>
      </c>
      <c r="W216" s="4">
        <v>0.0</v>
      </c>
      <c r="X216" s="4">
        <v>0.0</v>
      </c>
      <c r="Y216" s="4">
        <v>93.0</v>
      </c>
      <c r="Z216" s="4">
        <v>93.0</v>
      </c>
      <c r="AA216" s="4">
        <v>0.0</v>
      </c>
      <c r="AB216" s="4">
        <v>93.0</v>
      </c>
      <c r="AC216" s="5" t="s">
        <v>915</v>
      </c>
      <c r="AD216" s="5"/>
      <c r="AE216" s="7" t="s">
        <v>50</v>
      </c>
    </row>
    <row r="217">
      <c r="A217" s="4">
        <v>-8568703.3244</v>
      </c>
      <c r="B217" s="4">
        <v>4703292.2793</v>
      </c>
      <c r="C217" s="4">
        <v>362071.0</v>
      </c>
      <c r="D217" s="5" t="s">
        <v>45</v>
      </c>
      <c r="E217" s="5" t="s">
        <v>916</v>
      </c>
      <c r="F217" s="5" t="s">
        <v>917</v>
      </c>
      <c r="G217" s="5" t="s">
        <v>33</v>
      </c>
      <c r="H217" s="5" t="s">
        <v>34</v>
      </c>
      <c r="I217" s="4">
        <v>2.0</v>
      </c>
      <c r="J217" s="4">
        <v>38.87158057</v>
      </c>
      <c r="K217" s="4">
        <v>-76.97397129</v>
      </c>
      <c r="L217" s="4">
        <v>0.0</v>
      </c>
      <c r="M217" s="4">
        <v>0.0</v>
      </c>
      <c r="N217" s="4">
        <v>2.0</v>
      </c>
      <c r="O217" s="4">
        <v>0.0</v>
      </c>
      <c r="P217" s="4">
        <v>0.0</v>
      </c>
      <c r="Q217" s="5"/>
      <c r="R217" s="4">
        <v>50111.0</v>
      </c>
      <c r="S217" s="4">
        <v>402258.9</v>
      </c>
      <c r="T217" s="4">
        <v>133749.23</v>
      </c>
      <c r="U217" s="5" t="s">
        <v>918</v>
      </c>
      <c r="V217" s="5" t="s">
        <v>36</v>
      </c>
      <c r="W217" s="4">
        <v>0.0</v>
      </c>
      <c r="X217" s="4">
        <v>0.0</v>
      </c>
      <c r="Y217" s="4">
        <v>2.0</v>
      </c>
      <c r="Z217" s="4">
        <v>2.0</v>
      </c>
      <c r="AA217" s="4">
        <v>17.0</v>
      </c>
      <c r="AB217" s="4">
        <v>19.0</v>
      </c>
      <c r="AC217" s="5" t="s">
        <v>840</v>
      </c>
      <c r="AD217" s="5"/>
      <c r="AE217" s="7" t="s">
        <v>50</v>
      </c>
    </row>
    <row r="218">
      <c r="A218" s="4">
        <v>-8571301.9054</v>
      </c>
      <c r="B218" s="4">
        <v>4699457.9885</v>
      </c>
      <c r="C218" s="4">
        <v>362072.0</v>
      </c>
      <c r="D218" s="5" t="s">
        <v>45</v>
      </c>
      <c r="E218" s="5" t="s">
        <v>919</v>
      </c>
      <c r="F218" s="5" t="s">
        <v>920</v>
      </c>
      <c r="G218" s="5" t="s">
        <v>310</v>
      </c>
      <c r="H218" s="5" t="s">
        <v>34</v>
      </c>
      <c r="I218" s="4">
        <v>2.0</v>
      </c>
      <c r="J218" s="4">
        <v>38.84474474</v>
      </c>
      <c r="K218" s="4">
        <v>-76.99731278</v>
      </c>
      <c r="L218" s="4">
        <v>0.0</v>
      </c>
      <c r="M218" s="4">
        <v>0.0</v>
      </c>
      <c r="N218" s="4">
        <v>2.0</v>
      </c>
      <c r="O218" s="4">
        <v>0.0</v>
      </c>
      <c r="P218" s="4">
        <v>0.0</v>
      </c>
      <c r="Q218" s="9"/>
      <c r="R218" s="4">
        <v>42274.0</v>
      </c>
      <c r="S218" s="4">
        <v>400233.28</v>
      </c>
      <c r="T218" s="4">
        <v>130771.52</v>
      </c>
      <c r="U218" s="5" t="s">
        <v>921</v>
      </c>
      <c r="V218" s="5" t="s">
        <v>36</v>
      </c>
      <c r="W218" s="4">
        <v>0.0</v>
      </c>
      <c r="X218" s="4">
        <v>0.0</v>
      </c>
      <c r="Y218" s="4">
        <v>2.0</v>
      </c>
      <c r="Z218" s="4">
        <v>2.0</v>
      </c>
      <c r="AA218" s="4">
        <v>18.0</v>
      </c>
      <c r="AB218" s="4">
        <v>20.0</v>
      </c>
      <c r="AC218" s="5"/>
      <c r="AD218" s="5"/>
      <c r="AE218" s="7" t="s">
        <v>855</v>
      </c>
    </row>
    <row r="219">
      <c r="A219" s="4">
        <v>-8569747.1597</v>
      </c>
      <c r="B219" s="4">
        <v>4705373.9919</v>
      </c>
      <c r="C219" s="4">
        <v>362073.0</v>
      </c>
      <c r="D219" s="5" t="s">
        <v>39</v>
      </c>
      <c r="E219" s="5" t="s">
        <v>922</v>
      </c>
      <c r="F219" s="5" t="s">
        <v>923</v>
      </c>
      <c r="G219" s="5" t="s">
        <v>33</v>
      </c>
      <c r="H219" s="5" t="s">
        <v>34</v>
      </c>
      <c r="I219" s="4">
        <v>1.0</v>
      </c>
      <c r="J219" s="4">
        <v>38.88612337</v>
      </c>
      <c r="K219" s="4">
        <v>-76.98339721</v>
      </c>
      <c r="L219" s="4">
        <v>0.0</v>
      </c>
      <c r="M219" s="4">
        <v>0.0</v>
      </c>
      <c r="N219" s="4">
        <v>0.0</v>
      </c>
      <c r="O219" s="4">
        <v>1.0</v>
      </c>
      <c r="P219" s="4">
        <v>0.0</v>
      </c>
      <c r="Q219" s="9"/>
      <c r="R219" s="4">
        <v>46266.0</v>
      </c>
      <c r="S219" s="4">
        <v>401444.89</v>
      </c>
      <c r="T219" s="4">
        <v>135365.06</v>
      </c>
      <c r="U219" s="5" t="s">
        <v>924</v>
      </c>
      <c r="V219" s="5" t="s">
        <v>36</v>
      </c>
      <c r="W219" s="4">
        <v>0.0</v>
      </c>
      <c r="X219" s="4">
        <v>0.0</v>
      </c>
      <c r="Y219" s="4">
        <v>1.0</v>
      </c>
      <c r="Z219" s="4">
        <v>1.0</v>
      </c>
      <c r="AA219" s="4">
        <v>7.0</v>
      </c>
      <c r="AB219" s="4">
        <v>8.0</v>
      </c>
      <c r="AC219" s="5" t="s">
        <v>925</v>
      </c>
      <c r="AD219" s="5"/>
      <c r="AE219" s="7" t="s">
        <v>50</v>
      </c>
    </row>
    <row r="220">
      <c r="A220" s="4">
        <v>-8574749.2571</v>
      </c>
      <c r="B220" s="4">
        <v>4716058.114</v>
      </c>
      <c r="C220" s="4">
        <v>362074.0</v>
      </c>
      <c r="D220" s="5" t="s">
        <v>51</v>
      </c>
      <c r="E220" s="5" t="s">
        <v>926</v>
      </c>
      <c r="F220" s="5" t="s">
        <v>927</v>
      </c>
      <c r="G220" s="5" t="s">
        <v>33</v>
      </c>
      <c r="H220" s="5" t="s">
        <v>34</v>
      </c>
      <c r="I220" s="4">
        <v>4.0</v>
      </c>
      <c r="J220" s="4">
        <v>38.96084147</v>
      </c>
      <c r="K220" s="4">
        <v>-77.02829518</v>
      </c>
      <c r="L220" s="4">
        <v>0.0</v>
      </c>
      <c r="M220" s="4">
        <v>1.0</v>
      </c>
      <c r="N220" s="4">
        <v>0.0</v>
      </c>
      <c r="O220" s="4">
        <v>3.0</v>
      </c>
      <c r="P220" s="4">
        <v>0.0</v>
      </c>
      <c r="Q220" s="5"/>
      <c r="R220" s="4">
        <v>253165.0</v>
      </c>
      <c r="S220" s="4">
        <v>397548.9</v>
      </c>
      <c r="T220" s="4">
        <v>143654.18</v>
      </c>
      <c r="U220" s="5" t="s">
        <v>928</v>
      </c>
      <c r="V220" s="5" t="s">
        <v>36</v>
      </c>
      <c r="W220" s="4">
        <v>0.0</v>
      </c>
      <c r="X220" s="4">
        <v>0.0</v>
      </c>
      <c r="Y220" s="4">
        <v>4.0</v>
      </c>
      <c r="Z220" s="4">
        <v>4.0</v>
      </c>
      <c r="AA220" s="4">
        <v>45.0</v>
      </c>
      <c r="AB220" s="4">
        <v>49.0</v>
      </c>
      <c r="AC220" s="5" t="s">
        <v>929</v>
      </c>
      <c r="AD220" s="5"/>
      <c r="AE220" s="7" t="s">
        <v>50</v>
      </c>
    </row>
    <row r="221">
      <c r="A221" s="4">
        <v>-8572896.9266</v>
      </c>
      <c r="B221" s="4">
        <v>4708507.1023</v>
      </c>
      <c r="C221" s="4">
        <v>362075.0</v>
      </c>
      <c r="D221" s="5" t="s">
        <v>56</v>
      </c>
      <c r="E221" s="5" t="s">
        <v>930</v>
      </c>
      <c r="F221" s="5" t="s">
        <v>931</v>
      </c>
      <c r="G221" s="5" t="s">
        <v>310</v>
      </c>
      <c r="H221" s="5" t="s">
        <v>34</v>
      </c>
      <c r="I221" s="4">
        <v>1.0</v>
      </c>
      <c r="J221" s="4">
        <v>38.90802846</v>
      </c>
      <c r="K221" s="4">
        <v>-77.0116411</v>
      </c>
      <c r="L221" s="4">
        <v>0.0</v>
      </c>
      <c r="M221" s="4">
        <v>1.0</v>
      </c>
      <c r="N221" s="4">
        <v>0.0</v>
      </c>
      <c r="O221" s="4">
        <v>0.0</v>
      </c>
      <c r="P221" s="4">
        <v>0.0</v>
      </c>
      <c r="Q221" s="5"/>
      <c r="R221" s="4">
        <v>279933.0</v>
      </c>
      <c r="S221" s="4">
        <v>398990.32</v>
      </c>
      <c r="T221" s="4">
        <v>137796.59</v>
      </c>
      <c r="U221" s="5" t="s">
        <v>932</v>
      </c>
      <c r="V221" s="5" t="s">
        <v>36</v>
      </c>
      <c r="W221" s="4">
        <v>0.0</v>
      </c>
      <c r="X221" s="4">
        <v>0.0</v>
      </c>
      <c r="Y221" s="4">
        <v>1.0</v>
      </c>
      <c r="Z221" s="4">
        <v>1.0</v>
      </c>
      <c r="AA221" s="4">
        <v>13.0</v>
      </c>
      <c r="AB221" s="4">
        <v>14.0</v>
      </c>
      <c r="AC221" s="5"/>
      <c r="AD221" s="5"/>
      <c r="AE221" s="7" t="s">
        <v>855</v>
      </c>
    </row>
    <row r="222">
      <c r="A222" s="4">
        <v>-8570574.5851</v>
      </c>
      <c r="B222" s="4">
        <v>4712487.8836</v>
      </c>
      <c r="C222" s="4">
        <v>362076.0</v>
      </c>
      <c r="D222" s="5" t="s">
        <v>56</v>
      </c>
      <c r="E222" s="5" t="s">
        <v>933</v>
      </c>
      <c r="F222" s="5" t="s">
        <v>934</v>
      </c>
      <c r="G222" s="5" t="s">
        <v>33</v>
      </c>
      <c r="H222" s="5" t="s">
        <v>34</v>
      </c>
      <c r="I222" s="4">
        <v>2.0</v>
      </c>
      <c r="J222" s="4">
        <v>38.93583971</v>
      </c>
      <c r="K222" s="4">
        <v>-76.99074605</v>
      </c>
      <c r="L222" s="4">
        <v>0.0</v>
      </c>
      <c r="M222" s="4">
        <v>0.0</v>
      </c>
      <c r="N222" s="4">
        <v>2.0</v>
      </c>
      <c r="O222" s="4">
        <v>0.0</v>
      </c>
      <c r="P222" s="4">
        <v>0.0</v>
      </c>
      <c r="Q222" s="5"/>
      <c r="R222" s="4">
        <v>331448.0</v>
      </c>
      <c r="S222" s="4">
        <v>400799.45</v>
      </c>
      <c r="T222" s="4">
        <v>140884.97</v>
      </c>
      <c r="U222" s="5" t="s">
        <v>935</v>
      </c>
      <c r="V222" s="5" t="s">
        <v>36</v>
      </c>
      <c r="W222" s="4">
        <v>0.0</v>
      </c>
      <c r="X222" s="4">
        <v>0.0</v>
      </c>
      <c r="Y222" s="4">
        <v>2.0</v>
      </c>
      <c r="Z222" s="4">
        <v>2.0</v>
      </c>
      <c r="AA222" s="4">
        <v>25.0</v>
      </c>
      <c r="AB222" s="4">
        <v>27.0</v>
      </c>
      <c r="AC222" s="5" t="s">
        <v>936</v>
      </c>
      <c r="AD222" s="5"/>
      <c r="AE222" s="7" t="s">
        <v>50</v>
      </c>
    </row>
    <row r="223">
      <c r="A223" s="4">
        <v>-8572863.0654</v>
      </c>
      <c r="B223" s="4">
        <v>4715430.3341</v>
      </c>
      <c r="C223" s="4">
        <v>362077.0</v>
      </c>
      <c r="D223" s="5" t="s">
        <v>51</v>
      </c>
      <c r="E223" s="5" t="s">
        <v>937</v>
      </c>
      <c r="F223" s="5" t="s">
        <v>938</v>
      </c>
      <c r="G223" s="5" t="s">
        <v>33</v>
      </c>
      <c r="H223" s="5" t="s">
        <v>34</v>
      </c>
      <c r="I223" s="4">
        <v>1.0</v>
      </c>
      <c r="J223" s="4">
        <v>38.95640595</v>
      </c>
      <c r="K223" s="4">
        <v>-77.01132468</v>
      </c>
      <c r="L223" s="4">
        <v>0.0</v>
      </c>
      <c r="M223" s="4">
        <v>0.0</v>
      </c>
      <c r="N223" s="4">
        <v>1.0</v>
      </c>
      <c r="O223" s="4">
        <v>0.0</v>
      </c>
      <c r="P223" s="4">
        <v>0.0</v>
      </c>
      <c r="Q223" s="5"/>
      <c r="R223" s="4">
        <v>245924.0</v>
      </c>
      <c r="S223" s="4">
        <v>399017.37</v>
      </c>
      <c r="T223" s="4">
        <v>143167.06</v>
      </c>
      <c r="U223" s="5" t="s">
        <v>939</v>
      </c>
      <c r="V223" s="5" t="s">
        <v>36</v>
      </c>
      <c r="W223" s="4">
        <v>0.0</v>
      </c>
      <c r="X223" s="4">
        <v>0.0</v>
      </c>
      <c r="Y223" s="4">
        <v>1.0</v>
      </c>
      <c r="Z223" s="4">
        <v>1.0</v>
      </c>
      <c r="AA223" s="4">
        <v>15.0</v>
      </c>
      <c r="AB223" s="4">
        <v>16.0</v>
      </c>
      <c r="AC223" s="5" t="s">
        <v>940</v>
      </c>
      <c r="AD223" s="5"/>
      <c r="AE223" s="7" t="s">
        <v>50</v>
      </c>
    </row>
    <row r="224">
      <c r="A224" s="4">
        <v>-8574206.2849</v>
      </c>
      <c r="B224" s="4">
        <v>4711073.2713</v>
      </c>
      <c r="C224" s="4">
        <v>362078.0</v>
      </c>
      <c r="D224" s="5" t="s">
        <v>114</v>
      </c>
      <c r="E224" s="5" t="s">
        <v>941</v>
      </c>
      <c r="F224" s="5" t="s">
        <v>942</v>
      </c>
      <c r="G224" s="5" t="s">
        <v>33</v>
      </c>
      <c r="H224" s="5" t="s">
        <v>34</v>
      </c>
      <c r="I224" s="4">
        <v>1.0</v>
      </c>
      <c r="J224" s="4">
        <v>38.9259464</v>
      </c>
      <c r="K224" s="4">
        <v>-77.02342459</v>
      </c>
      <c r="L224" s="4">
        <v>0.0</v>
      </c>
      <c r="M224" s="4">
        <v>1.0</v>
      </c>
      <c r="N224" s="4">
        <v>0.0</v>
      </c>
      <c r="O224" s="4">
        <v>0.0</v>
      </c>
      <c r="P224" s="4">
        <v>0.0</v>
      </c>
      <c r="Q224" s="5"/>
      <c r="R224" s="4">
        <v>295096.0</v>
      </c>
      <c r="S224" s="4">
        <v>397970.65</v>
      </c>
      <c r="T224" s="4">
        <v>139787.83</v>
      </c>
      <c r="U224" s="5" t="s">
        <v>943</v>
      </c>
      <c r="V224" s="5" t="s">
        <v>36</v>
      </c>
      <c r="W224" s="4">
        <v>0.0</v>
      </c>
      <c r="X224" s="4">
        <v>0.0</v>
      </c>
      <c r="Y224" s="4">
        <v>1.0</v>
      </c>
      <c r="Z224" s="4">
        <v>1.0</v>
      </c>
      <c r="AA224" s="4">
        <v>7.0</v>
      </c>
      <c r="AB224" s="4">
        <v>8.0</v>
      </c>
      <c r="AC224" s="5" t="s">
        <v>944</v>
      </c>
      <c r="AD224" s="5"/>
      <c r="AE224" s="7" t="s">
        <v>50</v>
      </c>
    </row>
    <row r="225">
      <c r="A225" s="4">
        <v>-8573325.3059</v>
      </c>
      <c r="B225" s="4">
        <v>4709264.9092</v>
      </c>
      <c r="C225" s="4">
        <v>362079.0</v>
      </c>
      <c r="D225" s="5" t="s">
        <v>56</v>
      </c>
      <c r="E225" s="5" t="s">
        <v>945</v>
      </c>
      <c r="F225" s="5" t="s">
        <v>946</v>
      </c>
      <c r="G225" s="5" t="s">
        <v>33</v>
      </c>
      <c r="H225" s="5" t="s">
        <v>34</v>
      </c>
      <c r="I225" s="4">
        <v>1.0</v>
      </c>
      <c r="J225" s="4">
        <v>38.91334597</v>
      </c>
      <c r="K225" s="4">
        <v>-77.01551985</v>
      </c>
      <c r="L225" s="4">
        <v>0.0</v>
      </c>
      <c r="M225" s="4">
        <v>0.0</v>
      </c>
      <c r="N225" s="4">
        <v>1.0</v>
      </c>
      <c r="O225" s="4">
        <v>0.0</v>
      </c>
      <c r="P225" s="4">
        <v>0.0</v>
      </c>
      <c r="Q225" s="5"/>
      <c r="R225" s="4">
        <v>237613.0</v>
      </c>
      <c r="S225" s="4">
        <v>398656.65</v>
      </c>
      <c r="T225" s="4">
        <v>138384.66</v>
      </c>
      <c r="U225" s="5" t="s">
        <v>947</v>
      </c>
      <c r="V225" s="5" t="s">
        <v>36</v>
      </c>
      <c r="W225" s="4">
        <v>0.0</v>
      </c>
      <c r="X225" s="4">
        <v>0.0</v>
      </c>
      <c r="Y225" s="4">
        <v>1.0</v>
      </c>
      <c r="Z225" s="4">
        <v>1.0</v>
      </c>
      <c r="AA225" s="4">
        <v>13.0</v>
      </c>
      <c r="AB225" s="4">
        <v>14.0</v>
      </c>
      <c r="AC225" s="5" t="s">
        <v>948</v>
      </c>
      <c r="AD225" s="5"/>
      <c r="AE225" s="7" t="s">
        <v>50</v>
      </c>
    </row>
    <row r="226">
      <c r="A226" s="4">
        <v>-8575366.7289</v>
      </c>
      <c r="B226" s="4">
        <v>4712733.2676</v>
      </c>
      <c r="C226" s="4">
        <v>362080.0</v>
      </c>
      <c r="D226" s="5" t="s">
        <v>51</v>
      </c>
      <c r="E226" s="5" t="s">
        <v>949</v>
      </c>
      <c r="F226" s="5" t="s">
        <v>950</v>
      </c>
      <c r="G226" s="5" t="s">
        <v>33</v>
      </c>
      <c r="H226" s="5" t="s">
        <v>34</v>
      </c>
      <c r="I226" s="4">
        <v>2.0</v>
      </c>
      <c r="J226" s="4">
        <v>38.93755881</v>
      </c>
      <c r="K226" s="4">
        <v>-77.03379586</v>
      </c>
      <c r="L226" s="4">
        <v>0.0</v>
      </c>
      <c r="M226" s="4">
        <v>0.0</v>
      </c>
      <c r="N226" s="4">
        <v>0.0</v>
      </c>
      <c r="O226" s="4">
        <v>2.0</v>
      </c>
      <c r="P226" s="4">
        <v>0.0</v>
      </c>
      <c r="Q226" s="5"/>
      <c r="R226" s="4">
        <v>259012.0</v>
      </c>
      <c r="S226" s="4">
        <v>397067.2</v>
      </c>
      <c r="T226" s="4">
        <v>141075.81</v>
      </c>
      <c r="U226" s="5" t="s">
        <v>951</v>
      </c>
      <c r="V226" s="5" t="s">
        <v>36</v>
      </c>
      <c r="W226" s="4">
        <v>0.0</v>
      </c>
      <c r="X226" s="4">
        <v>0.0</v>
      </c>
      <c r="Y226" s="4">
        <v>2.0</v>
      </c>
      <c r="Z226" s="4">
        <v>2.0</v>
      </c>
      <c r="AA226" s="4">
        <v>13.0</v>
      </c>
      <c r="AB226" s="4">
        <v>15.0</v>
      </c>
      <c r="AC226" s="5" t="s">
        <v>952</v>
      </c>
      <c r="AD226" s="5"/>
      <c r="AE226" s="7" t="s">
        <v>50</v>
      </c>
    </row>
    <row r="227">
      <c r="A227" s="4">
        <v>-8574602.9122</v>
      </c>
      <c r="B227" s="4">
        <v>4718897.5798</v>
      </c>
      <c r="C227" s="4">
        <v>362081.0</v>
      </c>
      <c r="D227" s="5" t="s">
        <v>51</v>
      </c>
      <c r="E227" s="5" t="s">
        <v>953</v>
      </c>
      <c r="F227" s="5" t="s">
        <v>954</v>
      </c>
      <c r="G227" s="5" t="s">
        <v>33</v>
      </c>
      <c r="H227" s="5" t="s">
        <v>81</v>
      </c>
      <c r="I227" s="4">
        <v>64.0</v>
      </c>
      <c r="J227" s="4">
        <v>38.98049228</v>
      </c>
      <c r="K227" s="4">
        <v>-77.02678001</v>
      </c>
      <c r="L227" s="4">
        <v>13.0</v>
      </c>
      <c r="M227" s="4">
        <v>44.0</v>
      </c>
      <c r="N227" s="4">
        <v>7.0</v>
      </c>
      <c r="O227" s="4">
        <v>0.0</v>
      </c>
      <c r="P227" s="4">
        <v>0.0</v>
      </c>
      <c r="Q227" s="5"/>
      <c r="R227" s="4">
        <v>253521.0</v>
      </c>
      <c r="S227" s="4">
        <v>397663.49</v>
      </c>
      <c r="T227" s="4">
        <v>145855.59</v>
      </c>
      <c r="U227" s="5" t="s">
        <v>955</v>
      </c>
      <c r="V227" s="5" t="s">
        <v>36</v>
      </c>
      <c r="W227" s="4">
        <v>0.0</v>
      </c>
      <c r="X227" s="4">
        <v>0.0</v>
      </c>
      <c r="Y227" s="4">
        <v>64.0</v>
      </c>
      <c r="Z227" s="4">
        <v>64.0</v>
      </c>
      <c r="AA227" s="4">
        <v>2.0</v>
      </c>
      <c r="AB227" s="4">
        <v>66.0</v>
      </c>
      <c r="AC227" s="5" t="s">
        <v>144</v>
      </c>
      <c r="AD227" s="5"/>
      <c r="AE227" s="7" t="s">
        <v>50</v>
      </c>
    </row>
    <row r="228">
      <c r="A228" s="4">
        <v>-8572238.8944</v>
      </c>
      <c r="B228" s="4">
        <v>4713785.326</v>
      </c>
      <c r="C228" s="4">
        <v>362082.0</v>
      </c>
      <c r="D228" s="5" t="s">
        <v>56</v>
      </c>
      <c r="E228" s="5" t="s">
        <v>956</v>
      </c>
      <c r="F228" s="5" t="s">
        <v>957</v>
      </c>
      <c r="G228" s="5" t="s">
        <v>310</v>
      </c>
      <c r="H228" s="5" t="s">
        <v>34</v>
      </c>
      <c r="I228" s="4">
        <v>18.0</v>
      </c>
      <c r="J228" s="4">
        <v>38.94491549</v>
      </c>
      <c r="K228" s="4">
        <v>-77.00572989</v>
      </c>
      <c r="L228" s="4">
        <v>0.0</v>
      </c>
      <c r="M228" s="4">
        <v>0.0</v>
      </c>
      <c r="N228" s="4">
        <v>2.0</v>
      </c>
      <c r="O228" s="4">
        <v>16.0</v>
      </c>
      <c r="P228" s="4">
        <v>0.0</v>
      </c>
      <c r="Q228" s="5"/>
      <c r="R228" s="4">
        <v>82760.0</v>
      </c>
      <c r="S228" s="4">
        <v>399503.28</v>
      </c>
      <c r="T228" s="4">
        <v>141891.28</v>
      </c>
      <c r="U228" s="5" t="s">
        <v>958</v>
      </c>
      <c r="V228" s="5" t="s">
        <v>36</v>
      </c>
      <c r="W228" s="4">
        <v>0.0</v>
      </c>
      <c r="X228" s="4">
        <v>0.0</v>
      </c>
      <c r="Y228" s="4">
        <v>18.0</v>
      </c>
      <c r="Z228" s="4">
        <v>18.0</v>
      </c>
      <c r="AA228" s="4">
        <v>118.0</v>
      </c>
      <c r="AB228" s="4">
        <v>136.0</v>
      </c>
      <c r="AC228" s="5"/>
      <c r="AD228" s="5"/>
      <c r="AE228" s="7" t="s">
        <v>855</v>
      </c>
    </row>
    <row r="229">
      <c r="A229" s="4">
        <v>-8569475.168</v>
      </c>
      <c r="B229" s="4">
        <v>4702209.761</v>
      </c>
      <c r="C229" s="4">
        <v>362083.0</v>
      </c>
      <c r="D229" s="5" t="s">
        <v>45</v>
      </c>
      <c r="E229" s="5" t="s">
        <v>959</v>
      </c>
      <c r="F229" s="5" t="s">
        <v>960</v>
      </c>
      <c r="G229" s="5" t="s">
        <v>310</v>
      </c>
      <c r="H229" s="5" t="s">
        <v>34</v>
      </c>
      <c r="I229" s="4">
        <v>1.0</v>
      </c>
      <c r="J229" s="4">
        <v>38.86399461</v>
      </c>
      <c r="K229" s="4">
        <v>-76.98090293</v>
      </c>
      <c r="L229" s="4">
        <v>0.0</v>
      </c>
      <c r="M229" s="4">
        <v>0.0</v>
      </c>
      <c r="N229" s="4">
        <v>0.0</v>
      </c>
      <c r="O229" s="4">
        <v>1.0</v>
      </c>
      <c r="P229" s="4">
        <v>0.0</v>
      </c>
      <c r="Q229" s="5"/>
      <c r="R229" s="4">
        <v>312830.0</v>
      </c>
      <c r="S229" s="4">
        <v>401657.39</v>
      </c>
      <c r="T229" s="4">
        <v>132908.6</v>
      </c>
      <c r="U229" s="5" t="s">
        <v>961</v>
      </c>
      <c r="V229" s="5" t="s">
        <v>36</v>
      </c>
      <c r="W229" s="4">
        <v>0.0</v>
      </c>
      <c r="X229" s="4">
        <v>0.0</v>
      </c>
      <c r="Y229" s="4">
        <v>1.0</v>
      </c>
      <c r="Z229" s="4">
        <v>1.0</v>
      </c>
      <c r="AA229" s="4">
        <v>2.0</v>
      </c>
      <c r="AB229" s="4">
        <v>3.0</v>
      </c>
      <c r="AC229" s="5"/>
      <c r="AD229" s="5"/>
      <c r="AE229" s="7" t="s">
        <v>855</v>
      </c>
    </row>
    <row r="230">
      <c r="A230" s="4">
        <v>-8570606.0967</v>
      </c>
      <c r="B230" s="4">
        <v>4699421.1842</v>
      </c>
      <c r="C230" s="4">
        <v>362084.0</v>
      </c>
      <c r="D230" s="5" t="s">
        <v>45</v>
      </c>
      <c r="E230" s="5" t="s">
        <v>962</v>
      </c>
      <c r="F230" s="5" t="s">
        <v>963</v>
      </c>
      <c r="G230" s="5" t="s">
        <v>33</v>
      </c>
      <c r="H230" s="5" t="s">
        <v>63</v>
      </c>
      <c r="I230" s="4">
        <v>27.0</v>
      </c>
      <c r="J230" s="4">
        <v>38.8444869</v>
      </c>
      <c r="K230" s="4">
        <v>-76.99106223</v>
      </c>
      <c r="L230" s="4">
        <v>0.0</v>
      </c>
      <c r="M230" s="4">
        <v>14.0</v>
      </c>
      <c r="N230" s="4">
        <v>0.0</v>
      </c>
      <c r="O230" s="4">
        <v>13.0</v>
      </c>
      <c r="P230" s="4">
        <v>0.0</v>
      </c>
      <c r="Q230" s="5"/>
      <c r="R230" s="4">
        <v>332538.0</v>
      </c>
      <c r="S230" s="4">
        <v>400775.9</v>
      </c>
      <c r="T230" s="4">
        <v>130742.97</v>
      </c>
      <c r="U230" s="5" t="s">
        <v>964</v>
      </c>
      <c r="V230" s="5" t="s">
        <v>36</v>
      </c>
      <c r="W230" s="4">
        <v>0.0</v>
      </c>
      <c r="X230" s="4">
        <v>0.0</v>
      </c>
      <c r="Y230" s="4">
        <v>27.0</v>
      </c>
      <c r="Z230" s="4">
        <v>27.0</v>
      </c>
      <c r="AA230" s="4">
        <v>61.0</v>
      </c>
      <c r="AB230" s="4">
        <v>88.0</v>
      </c>
      <c r="AC230" s="5" t="s">
        <v>965</v>
      </c>
      <c r="AD230" s="5"/>
      <c r="AE230" s="7" t="s">
        <v>50</v>
      </c>
    </row>
    <row r="231">
      <c r="A231" s="4">
        <v>-8572880.7995</v>
      </c>
      <c r="B231" s="4">
        <v>4704361.5889</v>
      </c>
      <c r="C231" s="4">
        <v>362085.0</v>
      </c>
      <c r="D231" s="5" t="s">
        <v>39</v>
      </c>
      <c r="E231" s="5" t="s">
        <v>966</v>
      </c>
      <c r="F231" s="5" t="s">
        <v>967</v>
      </c>
      <c r="G231" s="5" t="s">
        <v>33</v>
      </c>
      <c r="H231" s="5" t="s">
        <v>34</v>
      </c>
      <c r="I231" s="4">
        <v>14.0</v>
      </c>
      <c r="J231" s="4">
        <v>38.87901567</v>
      </c>
      <c r="K231" s="4">
        <v>-77.01122366</v>
      </c>
      <c r="L231" s="4">
        <v>0.0</v>
      </c>
      <c r="M231" s="4">
        <v>2.0</v>
      </c>
      <c r="N231" s="4">
        <v>12.0</v>
      </c>
      <c r="O231" s="4">
        <v>0.0</v>
      </c>
      <c r="P231" s="4">
        <v>0.0</v>
      </c>
      <c r="Q231" s="5"/>
      <c r="R231" s="4">
        <v>276677.0</v>
      </c>
      <c r="S231" s="4">
        <v>399002.48</v>
      </c>
      <c r="T231" s="4">
        <v>134579.11</v>
      </c>
      <c r="U231" s="5" t="s">
        <v>968</v>
      </c>
      <c r="V231" s="5" t="s">
        <v>36</v>
      </c>
      <c r="W231" s="4">
        <v>0.0</v>
      </c>
      <c r="X231" s="4">
        <v>0.0</v>
      </c>
      <c r="Y231" s="4">
        <v>14.0</v>
      </c>
      <c r="Z231" s="4">
        <v>14.0</v>
      </c>
      <c r="AA231" s="4">
        <v>183.0</v>
      </c>
      <c r="AB231" s="4">
        <v>197.0</v>
      </c>
      <c r="AC231" s="5" t="s">
        <v>969</v>
      </c>
      <c r="AD231" s="5"/>
      <c r="AE231" s="7" t="s">
        <v>50</v>
      </c>
    </row>
    <row r="232">
      <c r="A232" s="4">
        <v>-8570664.8822</v>
      </c>
      <c r="B232" s="4">
        <v>4710568.0364</v>
      </c>
      <c r="C232" s="4">
        <v>362087.0</v>
      </c>
      <c r="D232" s="5" t="s">
        <v>56</v>
      </c>
      <c r="E232" s="5" t="s">
        <v>970</v>
      </c>
      <c r="F232" s="5" t="s">
        <v>971</v>
      </c>
      <c r="G232" s="5" t="s">
        <v>33</v>
      </c>
      <c r="H232" s="5" t="s">
        <v>34</v>
      </c>
      <c r="I232" s="4">
        <v>2.0</v>
      </c>
      <c r="J232" s="4">
        <v>38.9224089</v>
      </c>
      <c r="K232" s="4">
        <v>-76.99160761</v>
      </c>
      <c r="L232" s="4">
        <v>0.0</v>
      </c>
      <c r="M232" s="4">
        <v>0.0</v>
      </c>
      <c r="N232" s="4">
        <v>0.0</v>
      </c>
      <c r="O232" s="4">
        <v>2.0</v>
      </c>
      <c r="P232" s="4">
        <v>0.0</v>
      </c>
      <c r="Q232" s="5"/>
      <c r="R232" s="4">
        <v>76193.0</v>
      </c>
      <c r="S232" s="4">
        <v>400729.26</v>
      </c>
      <c r="T232" s="4">
        <v>139395.64</v>
      </c>
      <c r="U232" s="5" t="s">
        <v>972</v>
      </c>
      <c r="V232" s="5" t="s">
        <v>36</v>
      </c>
      <c r="W232" s="4">
        <v>0.0</v>
      </c>
      <c r="X232" s="4">
        <v>0.0</v>
      </c>
      <c r="Y232" s="4">
        <v>2.0</v>
      </c>
      <c r="Z232" s="4">
        <v>2.0</v>
      </c>
      <c r="AA232" s="4">
        <v>16.0</v>
      </c>
      <c r="AB232" s="4">
        <v>18.0</v>
      </c>
      <c r="AC232" s="5" t="s">
        <v>973</v>
      </c>
      <c r="AD232" s="5"/>
      <c r="AE232" s="7" t="s">
        <v>50</v>
      </c>
    </row>
    <row r="233">
      <c r="A233" s="4">
        <v>-8571583.7012</v>
      </c>
      <c r="B233" s="4">
        <v>4711322.377</v>
      </c>
      <c r="C233" s="4">
        <v>362088.0</v>
      </c>
      <c r="D233" s="5" t="s">
        <v>56</v>
      </c>
      <c r="E233" s="5" t="s">
        <v>974</v>
      </c>
      <c r="F233" s="5" t="s">
        <v>975</v>
      </c>
      <c r="G233" s="5" t="s">
        <v>33</v>
      </c>
      <c r="H233" s="5" t="s">
        <v>34</v>
      </c>
      <c r="I233" s="4">
        <v>9.0</v>
      </c>
      <c r="J233" s="4">
        <v>38.92769458</v>
      </c>
      <c r="K233" s="4">
        <v>-76.99982828</v>
      </c>
      <c r="L233" s="4">
        <v>0.0</v>
      </c>
      <c r="M233" s="4">
        <v>3.0</v>
      </c>
      <c r="N233" s="4">
        <v>3.0</v>
      </c>
      <c r="O233" s="4">
        <v>3.0</v>
      </c>
      <c r="P233" s="4">
        <v>0.0</v>
      </c>
      <c r="Q233" s="5"/>
      <c r="R233" s="4">
        <v>333707.0</v>
      </c>
      <c r="S233" s="4">
        <v>400013.51</v>
      </c>
      <c r="T233" s="4">
        <v>139980.82</v>
      </c>
      <c r="U233" s="5" t="s">
        <v>976</v>
      </c>
      <c r="V233" s="5" t="s">
        <v>36</v>
      </c>
      <c r="W233" s="4">
        <v>0.0</v>
      </c>
      <c r="X233" s="4">
        <v>0.0</v>
      </c>
      <c r="Y233" s="4">
        <v>9.0</v>
      </c>
      <c r="Z233" s="4">
        <v>9.0</v>
      </c>
      <c r="AA233" s="4">
        <v>51.0</v>
      </c>
      <c r="AB233" s="4">
        <v>60.0</v>
      </c>
      <c r="AC233" s="5" t="s">
        <v>797</v>
      </c>
      <c r="AD233" s="5"/>
      <c r="AE233" s="7" t="s">
        <v>50</v>
      </c>
    </row>
    <row r="234">
      <c r="A234" s="4">
        <v>-8574481.629</v>
      </c>
      <c r="B234" s="4">
        <v>4711796.8116</v>
      </c>
      <c r="C234" s="4">
        <v>362089.0</v>
      </c>
      <c r="D234" s="5" t="s">
        <v>114</v>
      </c>
      <c r="E234" s="5" t="s">
        <v>977</v>
      </c>
      <c r="F234" s="5" t="s">
        <v>978</v>
      </c>
      <c r="G234" s="5" t="s">
        <v>33</v>
      </c>
      <c r="H234" s="5" t="s">
        <v>34</v>
      </c>
      <c r="I234" s="4">
        <v>1.0</v>
      </c>
      <c r="J234" s="4">
        <v>38.93102074</v>
      </c>
      <c r="K234" s="4">
        <v>-77.02587671</v>
      </c>
      <c r="L234" s="4">
        <v>0.0</v>
      </c>
      <c r="M234" s="4">
        <v>0.0</v>
      </c>
      <c r="N234" s="4">
        <v>1.0</v>
      </c>
      <c r="O234" s="4">
        <v>0.0</v>
      </c>
      <c r="P234" s="4">
        <v>0.0</v>
      </c>
      <c r="Q234" s="5"/>
      <c r="R234" s="4">
        <v>313481.0</v>
      </c>
      <c r="S234" s="4">
        <v>397756.33</v>
      </c>
      <c r="T234" s="4">
        <v>140349.18</v>
      </c>
      <c r="U234" s="5" t="s">
        <v>979</v>
      </c>
      <c r="V234" s="5" t="s">
        <v>36</v>
      </c>
      <c r="W234" s="4">
        <v>0.0</v>
      </c>
      <c r="X234" s="4">
        <v>0.0</v>
      </c>
      <c r="Y234" s="4">
        <v>1.0</v>
      </c>
      <c r="Z234" s="4">
        <v>1.0</v>
      </c>
      <c r="AA234" s="4">
        <v>14.0</v>
      </c>
      <c r="AB234" s="4">
        <v>15.0</v>
      </c>
      <c r="AC234" s="5" t="s">
        <v>980</v>
      </c>
      <c r="AD234" s="5"/>
      <c r="AE234" s="7" t="s">
        <v>50</v>
      </c>
    </row>
    <row r="235">
      <c r="A235" s="4">
        <v>-8571172.5009</v>
      </c>
      <c r="B235" s="4">
        <v>4697145.4218</v>
      </c>
      <c r="C235" s="4">
        <v>362090.0</v>
      </c>
      <c r="D235" s="5" t="s">
        <v>45</v>
      </c>
      <c r="E235" s="5" t="s">
        <v>981</v>
      </c>
      <c r="F235" s="5" t="s">
        <v>982</v>
      </c>
      <c r="G235" s="5" t="s">
        <v>33</v>
      </c>
      <c r="H235" s="5" t="s">
        <v>81</v>
      </c>
      <c r="I235" s="4">
        <v>169.0</v>
      </c>
      <c r="J235" s="4">
        <v>38.82794395</v>
      </c>
      <c r="K235" s="4">
        <v>-76.99675843</v>
      </c>
      <c r="L235" s="4">
        <v>34.0</v>
      </c>
      <c r="M235" s="4">
        <v>135.0</v>
      </c>
      <c r="N235" s="4">
        <v>0.0</v>
      </c>
      <c r="O235" s="4">
        <v>0.0</v>
      </c>
      <c r="P235" s="4">
        <v>0.0</v>
      </c>
      <c r="Q235" s="5"/>
      <c r="R235" s="4">
        <v>24213.0</v>
      </c>
      <c r="S235" s="4">
        <v>400334.27</v>
      </c>
      <c r="T235" s="4">
        <v>128975.24</v>
      </c>
      <c r="U235" s="5" t="s">
        <v>983</v>
      </c>
      <c r="V235" s="5" t="s">
        <v>36</v>
      </c>
      <c r="W235" s="4">
        <v>88.0</v>
      </c>
      <c r="X235" s="4">
        <v>0.0</v>
      </c>
      <c r="Y235" s="4">
        <v>81.0</v>
      </c>
      <c r="Z235" s="4">
        <v>81.0</v>
      </c>
      <c r="AA235" s="4">
        <v>0.0</v>
      </c>
      <c r="AB235" s="4">
        <v>169.0</v>
      </c>
      <c r="AC235" s="5" t="s">
        <v>984</v>
      </c>
      <c r="AD235" s="5"/>
      <c r="AE235" s="7" t="s">
        <v>50</v>
      </c>
    </row>
    <row r="236">
      <c r="A236" s="4">
        <v>-8569471.2286</v>
      </c>
      <c r="B236" s="4">
        <v>4707258.7168</v>
      </c>
      <c r="C236" s="4">
        <v>362091.0</v>
      </c>
      <c r="D236" s="5" t="s">
        <v>39</v>
      </c>
      <c r="E236" s="5" t="s">
        <v>985</v>
      </c>
      <c r="F236" s="5" t="s">
        <v>986</v>
      </c>
      <c r="G236" s="5" t="s">
        <v>33</v>
      </c>
      <c r="H236" s="5" t="s">
        <v>81</v>
      </c>
      <c r="I236" s="4">
        <v>148.0</v>
      </c>
      <c r="J236" s="4">
        <v>38.89948835</v>
      </c>
      <c r="K236" s="4">
        <v>-76.98130625</v>
      </c>
      <c r="L236" s="4">
        <v>15.0</v>
      </c>
      <c r="M236" s="4">
        <v>133.0</v>
      </c>
      <c r="N236" s="4">
        <v>0.0</v>
      </c>
      <c r="O236" s="4">
        <v>0.0</v>
      </c>
      <c r="P236" s="4">
        <v>0.0</v>
      </c>
      <c r="Q236" s="5"/>
      <c r="R236" s="4">
        <v>277675.0</v>
      </c>
      <c r="S236" s="4">
        <v>401659.64</v>
      </c>
      <c r="T236" s="4">
        <v>136827.92</v>
      </c>
      <c r="U236" s="5" t="s">
        <v>987</v>
      </c>
      <c r="V236" s="5" t="s">
        <v>36</v>
      </c>
      <c r="W236" s="4">
        <v>0.0</v>
      </c>
      <c r="X236" s="4">
        <v>0.0</v>
      </c>
      <c r="Y236" s="4">
        <v>148.0</v>
      </c>
      <c r="Z236" s="4">
        <v>148.0</v>
      </c>
      <c r="AA236" s="4">
        <v>0.0</v>
      </c>
      <c r="AB236" s="4">
        <v>148.0</v>
      </c>
      <c r="AC236" s="5" t="s">
        <v>988</v>
      </c>
      <c r="AD236" s="5"/>
      <c r="AE236" s="7" t="s">
        <v>50</v>
      </c>
    </row>
    <row r="237">
      <c r="A237" s="4">
        <v>-8572653.0014</v>
      </c>
      <c r="B237" s="4">
        <v>4708715.6307</v>
      </c>
      <c r="C237" s="4">
        <v>362092.0</v>
      </c>
      <c r="D237" s="5" t="s">
        <v>56</v>
      </c>
      <c r="E237" s="5" t="s">
        <v>989</v>
      </c>
      <c r="F237" s="5" t="s">
        <v>990</v>
      </c>
      <c r="G237" s="5" t="s">
        <v>33</v>
      </c>
      <c r="H237" s="5" t="s">
        <v>34</v>
      </c>
      <c r="I237" s="4">
        <v>1.0</v>
      </c>
      <c r="J237" s="4">
        <v>38.90954359</v>
      </c>
      <c r="K237" s="4">
        <v>-77.00945461</v>
      </c>
      <c r="L237" s="4">
        <v>0.0</v>
      </c>
      <c r="M237" s="4">
        <v>0.0</v>
      </c>
      <c r="N237" s="4">
        <v>1.0</v>
      </c>
      <c r="O237" s="4">
        <v>0.0</v>
      </c>
      <c r="P237" s="4">
        <v>0.0</v>
      </c>
      <c r="Q237" s="5"/>
      <c r="R237" s="4">
        <v>334013.0</v>
      </c>
      <c r="S237" s="4">
        <v>399180.39</v>
      </c>
      <c r="T237" s="4">
        <v>137958.38</v>
      </c>
      <c r="U237" s="5" t="s">
        <v>991</v>
      </c>
      <c r="V237" s="5" t="s">
        <v>36</v>
      </c>
      <c r="W237" s="4">
        <v>0.0</v>
      </c>
      <c r="X237" s="4">
        <v>0.0</v>
      </c>
      <c r="Y237" s="4">
        <v>1.0</v>
      </c>
      <c r="Z237" s="4">
        <v>1.0</v>
      </c>
      <c r="AA237" s="4">
        <v>15.0</v>
      </c>
      <c r="AB237" s="4">
        <v>16.0</v>
      </c>
      <c r="AC237" s="5" t="s">
        <v>781</v>
      </c>
      <c r="AD237" s="5"/>
      <c r="AE237" s="7" t="s">
        <v>50</v>
      </c>
    </row>
    <row r="238">
      <c r="A238" s="4">
        <v>-8574026.2132</v>
      </c>
      <c r="B238" s="4">
        <v>4715465.8818</v>
      </c>
      <c r="C238" s="4">
        <v>362093.0</v>
      </c>
      <c r="D238" s="5" t="s">
        <v>51</v>
      </c>
      <c r="E238" s="5" t="s">
        <v>992</v>
      </c>
      <c r="F238" s="5" t="s">
        <v>993</v>
      </c>
      <c r="G238" s="5" t="s">
        <v>33</v>
      </c>
      <c r="H238" s="5" t="s">
        <v>34</v>
      </c>
      <c r="I238" s="4">
        <v>1.0</v>
      </c>
      <c r="J238" s="4">
        <v>38.9565894</v>
      </c>
      <c r="K238" s="4">
        <v>-77.02178424</v>
      </c>
      <c r="L238" s="4">
        <v>0.0</v>
      </c>
      <c r="M238" s="4">
        <v>0.0</v>
      </c>
      <c r="N238" s="4">
        <v>0.0</v>
      </c>
      <c r="O238" s="4">
        <v>1.0</v>
      </c>
      <c r="P238" s="4">
        <v>0.0</v>
      </c>
      <c r="Q238" s="5"/>
      <c r="R238" s="4">
        <v>246692.0</v>
      </c>
      <c r="S238" s="4">
        <v>398111.73</v>
      </c>
      <c r="T238" s="4">
        <v>143194.79</v>
      </c>
      <c r="U238" s="5" t="s">
        <v>994</v>
      </c>
      <c r="V238" s="5" t="s">
        <v>36</v>
      </c>
      <c r="W238" s="4">
        <v>0.0</v>
      </c>
      <c r="X238" s="4">
        <v>0.0</v>
      </c>
      <c r="Y238" s="4">
        <v>1.0</v>
      </c>
      <c r="Z238" s="4">
        <v>1.0</v>
      </c>
      <c r="AA238" s="4">
        <v>9.0</v>
      </c>
      <c r="AB238" s="4">
        <v>10.0</v>
      </c>
      <c r="AC238" s="5" t="s">
        <v>995</v>
      </c>
      <c r="AD238" s="5"/>
      <c r="AE238" s="7" t="s">
        <v>50</v>
      </c>
    </row>
    <row r="239">
      <c r="A239" s="4">
        <v>-8568026.1504</v>
      </c>
      <c r="B239" s="4">
        <v>4701815.8793</v>
      </c>
      <c r="C239" s="4">
        <v>362094.0</v>
      </c>
      <c r="D239" s="5" t="s">
        <v>30</v>
      </c>
      <c r="E239" s="5" t="s">
        <v>996</v>
      </c>
      <c r="F239" s="5" t="s">
        <v>997</v>
      </c>
      <c r="G239" s="5" t="s">
        <v>33</v>
      </c>
      <c r="H239" s="5" t="s">
        <v>63</v>
      </c>
      <c r="I239" s="4">
        <v>53.0</v>
      </c>
      <c r="J239" s="4">
        <v>38.8612395</v>
      </c>
      <c r="K239" s="4">
        <v>-76.96788618</v>
      </c>
      <c r="L239" s="4">
        <v>0.0</v>
      </c>
      <c r="M239" s="4">
        <v>0.0</v>
      </c>
      <c r="N239" s="4">
        <v>0.0</v>
      </c>
      <c r="O239" s="4">
        <v>53.0</v>
      </c>
      <c r="P239" s="4">
        <v>26.0</v>
      </c>
      <c r="Q239" s="5"/>
      <c r="R239" s="4">
        <v>313176.0</v>
      </c>
      <c r="S239" s="4">
        <v>402787.19</v>
      </c>
      <c r="T239" s="4">
        <v>132603.08</v>
      </c>
      <c r="U239" s="5" t="s">
        <v>998</v>
      </c>
      <c r="V239" s="5" t="s">
        <v>36</v>
      </c>
      <c r="W239" s="4">
        <v>0.0</v>
      </c>
      <c r="X239" s="4">
        <v>0.0</v>
      </c>
      <c r="Y239" s="4">
        <v>53.0</v>
      </c>
      <c r="Z239" s="4">
        <v>53.0</v>
      </c>
      <c r="AA239" s="4">
        <v>184.0</v>
      </c>
      <c r="AB239" s="4">
        <v>263.0</v>
      </c>
      <c r="AC239" s="5" t="s">
        <v>999</v>
      </c>
      <c r="AD239" s="5"/>
      <c r="AE239" s="7" t="s">
        <v>50</v>
      </c>
    </row>
    <row r="240">
      <c r="A240" s="4">
        <v>-8574543.8749</v>
      </c>
      <c r="B240" s="4">
        <v>4713724.1252</v>
      </c>
      <c r="C240" s="4">
        <v>362095.0</v>
      </c>
      <c r="D240" s="5" t="s">
        <v>51</v>
      </c>
      <c r="E240" s="5" t="s">
        <v>1000</v>
      </c>
      <c r="F240" s="5" t="s">
        <v>1001</v>
      </c>
      <c r="G240" s="5" t="s">
        <v>33</v>
      </c>
      <c r="H240" s="5" t="s">
        <v>34</v>
      </c>
      <c r="I240" s="4">
        <v>2.0</v>
      </c>
      <c r="J240" s="4">
        <v>38.9444879</v>
      </c>
      <c r="K240" s="4">
        <v>-77.02643588</v>
      </c>
      <c r="L240" s="4">
        <v>0.0</v>
      </c>
      <c r="M240" s="4">
        <v>1.0</v>
      </c>
      <c r="N240" s="4">
        <v>1.0</v>
      </c>
      <c r="O240" s="4">
        <v>0.0</v>
      </c>
      <c r="P240" s="4">
        <v>0.0</v>
      </c>
      <c r="Q240" s="5"/>
      <c r="R240" s="4">
        <v>252657.0</v>
      </c>
      <c r="S240" s="4">
        <v>397708.28</v>
      </c>
      <c r="T240" s="4">
        <v>141844.13</v>
      </c>
      <c r="U240" s="5" t="s">
        <v>1002</v>
      </c>
      <c r="V240" s="5" t="s">
        <v>36</v>
      </c>
      <c r="W240" s="4">
        <v>0.0</v>
      </c>
      <c r="X240" s="4">
        <v>0.0</v>
      </c>
      <c r="Y240" s="4">
        <v>2.0</v>
      </c>
      <c r="Z240" s="4">
        <v>2.0</v>
      </c>
      <c r="AA240" s="4">
        <v>17.0</v>
      </c>
      <c r="AB240" s="4">
        <v>19.0</v>
      </c>
      <c r="AC240" s="5" t="s">
        <v>1003</v>
      </c>
      <c r="AD240" s="5"/>
      <c r="AE240" s="7" t="s">
        <v>50</v>
      </c>
    </row>
    <row r="241">
      <c r="A241" s="4">
        <v>-8574148.225</v>
      </c>
      <c r="B241" s="4">
        <v>4710838.0561</v>
      </c>
      <c r="C241" s="4">
        <v>362096.0</v>
      </c>
      <c r="D241" s="5" t="s">
        <v>114</v>
      </c>
      <c r="E241" s="5" t="s">
        <v>1004</v>
      </c>
      <c r="F241" s="5" t="s">
        <v>1005</v>
      </c>
      <c r="G241" s="5" t="s">
        <v>33</v>
      </c>
      <c r="H241" s="5" t="s">
        <v>34</v>
      </c>
      <c r="I241" s="4">
        <v>1.0</v>
      </c>
      <c r="J241" s="4">
        <v>38.92432062</v>
      </c>
      <c r="K241" s="4">
        <v>-77.0228817</v>
      </c>
      <c r="L241" s="4">
        <v>0.0</v>
      </c>
      <c r="M241" s="4">
        <v>0.0</v>
      </c>
      <c r="N241" s="4">
        <v>1.0</v>
      </c>
      <c r="O241" s="4">
        <v>0.0</v>
      </c>
      <c r="P241" s="4">
        <v>0.0</v>
      </c>
      <c r="Q241" s="5"/>
      <c r="R241" s="4">
        <v>232403.0</v>
      </c>
      <c r="S241" s="4">
        <v>398015.83</v>
      </c>
      <c r="T241" s="4">
        <v>139605.34</v>
      </c>
      <c r="U241" s="5" t="s">
        <v>1006</v>
      </c>
      <c r="V241" s="5" t="s">
        <v>36</v>
      </c>
      <c r="W241" s="4">
        <v>0.0</v>
      </c>
      <c r="X241" s="4">
        <v>0.0</v>
      </c>
      <c r="Y241" s="4">
        <v>1.0</v>
      </c>
      <c r="Z241" s="4">
        <v>1.0</v>
      </c>
      <c r="AA241" s="4">
        <v>6.0</v>
      </c>
      <c r="AB241" s="4">
        <v>7.0</v>
      </c>
      <c r="AC241" s="5" t="s">
        <v>1007</v>
      </c>
      <c r="AD241" s="5"/>
      <c r="AE241" s="7" t="s">
        <v>50</v>
      </c>
    </row>
    <row r="242">
      <c r="A242" s="4">
        <v>-8563899.6216</v>
      </c>
      <c r="B242" s="4">
        <v>4708419.9237</v>
      </c>
      <c r="C242" s="4">
        <v>362099.0</v>
      </c>
      <c r="D242" s="5" t="s">
        <v>30</v>
      </c>
      <c r="E242" s="5" t="s">
        <v>1008</v>
      </c>
      <c r="F242" s="5" t="s">
        <v>1009</v>
      </c>
      <c r="G242" s="5" t="s">
        <v>310</v>
      </c>
      <c r="H242" s="5" t="s">
        <v>34</v>
      </c>
      <c r="I242" s="4">
        <v>1.0</v>
      </c>
      <c r="J242" s="4">
        <v>38.90741939</v>
      </c>
      <c r="K242" s="4">
        <v>-76.93081695</v>
      </c>
      <c r="L242" s="4">
        <v>0.0</v>
      </c>
      <c r="M242" s="4">
        <v>1.0</v>
      </c>
      <c r="N242" s="4">
        <v>0.0</v>
      </c>
      <c r="O242" s="4">
        <v>0.0</v>
      </c>
      <c r="P242" s="4">
        <v>0.0</v>
      </c>
      <c r="Q242" s="5"/>
      <c r="R242" s="4">
        <v>16151.0</v>
      </c>
      <c r="S242" s="4">
        <v>406000.58</v>
      </c>
      <c r="T242" s="4">
        <v>137731.15</v>
      </c>
      <c r="U242" s="5" t="s">
        <v>1010</v>
      </c>
      <c r="V242" s="5" t="s">
        <v>36</v>
      </c>
      <c r="W242" s="4">
        <v>0.0</v>
      </c>
      <c r="X242" s="4">
        <v>0.0</v>
      </c>
      <c r="Y242" s="4">
        <v>1.0</v>
      </c>
      <c r="Z242" s="4">
        <v>1.0</v>
      </c>
      <c r="AA242" s="4">
        <v>7.0</v>
      </c>
      <c r="AB242" s="4">
        <v>8.0</v>
      </c>
      <c r="AC242" s="5"/>
      <c r="AD242" s="5"/>
      <c r="AE242" s="7" t="s">
        <v>855</v>
      </c>
    </row>
    <row r="243">
      <c r="A243" s="4">
        <v>-8563922.4669</v>
      </c>
      <c r="B243" s="4">
        <v>4708419.9926</v>
      </c>
      <c r="C243" s="4">
        <v>362100.0</v>
      </c>
      <c r="D243" s="5" t="s">
        <v>30</v>
      </c>
      <c r="E243" s="5" t="s">
        <v>1011</v>
      </c>
      <c r="F243" s="5" t="s">
        <v>1012</v>
      </c>
      <c r="G243" s="5" t="s">
        <v>310</v>
      </c>
      <c r="H243" s="5" t="s">
        <v>34</v>
      </c>
      <c r="I243" s="4">
        <v>1.0</v>
      </c>
      <c r="J243" s="4">
        <v>38.90741987</v>
      </c>
      <c r="K243" s="4">
        <v>-76.93102218</v>
      </c>
      <c r="L243" s="4">
        <v>0.0</v>
      </c>
      <c r="M243" s="4">
        <v>1.0</v>
      </c>
      <c r="N243" s="4">
        <v>0.0</v>
      </c>
      <c r="O243" s="4">
        <v>0.0</v>
      </c>
      <c r="P243" s="4">
        <v>0.0</v>
      </c>
      <c r="Q243" s="5"/>
      <c r="R243" s="4">
        <v>16286.0</v>
      </c>
      <c r="S243" s="4">
        <v>405982.78</v>
      </c>
      <c r="T243" s="4">
        <v>137731.19</v>
      </c>
      <c r="U243" s="5" t="s">
        <v>1013</v>
      </c>
      <c r="V243" s="5" t="s">
        <v>36</v>
      </c>
      <c r="W243" s="4">
        <v>0.0</v>
      </c>
      <c r="X243" s="4">
        <v>0.0</v>
      </c>
      <c r="Y243" s="4">
        <v>1.0</v>
      </c>
      <c r="Z243" s="4">
        <v>1.0</v>
      </c>
      <c r="AA243" s="4">
        <v>7.0</v>
      </c>
      <c r="AB243" s="4">
        <v>8.0</v>
      </c>
      <c r="AC243" s="5"/>
      <c r="AD243" s="5"/>
      <c r="AE243" s="7" t="s">
        <v>855</v>
      </c>
    </row>
    <row r="244">
      <c r="A244" s="4">
        <v>-8573607.9714</v>
      </c>
      <c r="B244" s="4">
        <v>4712795.9359</v>
      </c>
      <c r="C244" s="4">
        <v>362101.0</v>
      </c>
      <c r="D244" s="5" t="s">
        <v>51</v>
      </c>
      <c r="E244" s="5" t="s">
        <v>1014</v>
      </c>
      <c r="F244" s="5" t="s">
        <v>1015</v>
      </c>
      <c r="G244" s="5" t="s">
        <v>33</v>
      </c>
      <c r="H244" s="5" t="s">
        <v>34</v>
      </c>
      <c r="I244" s="4">
        <v>1.0</v>
      </c>
      <c r="J244" s="4">
        <v>38.93800263</v>
      </c>
      <c r="K244" s="4">
        <v>-77.01802852</v>
      </c>
      <c r="L244" s="4">
        <v>0.0</v>
      </c>
      <c r="M244" s="4">
        <v>0.0</v>
      </c>
      <c r="N244" s="4">
        <v>0.0</v>
      </c>
      <c r="O244" s="4">
        <v>1.0</v>
      </c>
      <c r="P244" s="4">
        <v>0.0</v>
      </c>
      <c r="Q244" s="5"/>
      <c r="R244" s="4">
        <v>247860.0</v>
      </c>
      <c r="S244" s="4">
        <v>398436.97</v>
      </c>
      <c r="T244" s="4">
        <v>141124.03</v>
      </c>
      <c r="U244" s="5" t="s">
        <v>1016</v>
      </c>
      <c r="V244" s="5" t="s">
        <v>36</v>
      </c>
      <c r="W244" s="4">
        <v>0.0</v>
      </c>
      <c r="X244" s="4">
        <v>0.0</v>
      </c>
      <c r="Y244" s="4">
        <v>1.0</v>
      </c>
      <c r="Z244" s="4">
        <v>1.0</v>
      </c>
      <c r="AA244" s="4">
        <v>3.0</v>
      </c>
      <c r="AB244" s="4">
        <v>4.0</v>
      </c>
      <c r="AC244" s="5" t="s">
        <v>563</v>
      </c>
      <c r="AD244" s="5"/>
      <c r="AE244" s="7" t="s">
        <v>50</v>
      </c>
    </row>
    <row r="245">
      <c r="A245" s="4">
        <v>-8574432.3353</v>
      </c>
      <c r="B245" s="4">
        <v>4713117.2655</v>
      </c>
      <c r="C245" s="4">
        <v>362102.0</v>
      </c>
      <c r="D245" s="5" t="s">
        <v>51</v>
      </c>
      <c r="E245" s="5" t="s">
        <v>1017</v>
      </c>
      <c r="F245" s="5" t="s">
        <v>1018</v>
      </c>
      <c r="G245" s="5" t="s">
        <v>33</v>
      </c>
      <c r="H245" s="5" t="s">
        <v>34</v>
      </c>
      <c r="I245" s="4">
        <v>1.0</v>
      </c>
      <c r="J245" s="4">
        <v>38.94025829</v>
      </c>
      <c r="K245" s="4">
        <v>-77.0253775</v>
      </c>
      <c r="L245" s="4">
        <v>0.0</v>
      </c>
      <c r="M245" s="4">
        <v>1.0</v>
      </c>
      <c r="N245" s="4">
        <v>0.0</v>
      </c>
      <c r="O245" s="4">
        <v>0.0</v>
      </c>
      <c r="P245" s="4">
        <v>0.0</v>
      </c>
      <c r="Q245" s="5"/>
      <c r="R245" s="4">
        <v>224858.0</v>
      </c>
      <c r="S245" s="4">
        <v>397795.01</v>
      </c>
      <c r="T245" s="4">
        <v>141373.42</v>
      </c>
      <c r="U245" s="5" t="s">
        <v>1019</v>
      </c>
      <c r="V245" s="5" t="s">
        <v>36</v>
      </c>
      <c r="W245" s="4">
        <v>0.0</v>
      </c>
      <c r="X245" s="4">
        <v>0.0</v>
      </c>
      <c r="Y245" s="4">
        <v>1.0</v>
      </c>
      <c r="Z245" s="4">
        <v>1.0</v>
      </c>
      <c r="AA245" s="4">
        <v>9.0</v>
      </c>
      <c r="AB245" s="4">
        <v>10.0</v>
      </c>
      <c r="AC245" s="5" t="s">
        <v>1020</v>
      </c>
      <c r="AD245" s="5"/>
      <c r="AE245" s="7" t="s">
        <v>50</v>
      </c>
    </row>
    <row r="246">
      <c r="A246" s="4">
        <v>-8570260.5915</v>
      </c>
      <c r="B246" s="4">
        <v>4706733.2705</v>
      </c>
      <c r="C246" s="4">
        <v>362104.0</v>
      </c>
      <c r="D246" s="5" t="s">
        <v>39</v>
      </c>
      <c r="E246" s="5" t="s">
        <v>1021</v>
      </c>
      <c r="F246" s="5" t="s">
        <v>1022</v>
      </c>
      <c r="G246" s="5" t="s">
        <v>33</v>
      </c>
      <c r="H246" s="5" t="s">
        <v>34</v>
      </c>
      <c r="I246" s="4">
        <v>2.0</v>
      </c>
      <c r="J246" s="4">
        <v>38.89563221</v>
      </c>
      <c r="K246" s="4">
        <v>-76.98805383</v>
      </c>
      <c r="L246" s="4">
        <v>0.0</v>
      </c>
      <c r="M246" s="4">
        <v>1.0</v>
      </c>
      <c r="N246" s="4">
        <v>1.0</v>
      </c>
      <c r="O246" s="4">
        <v>0.0</v>
      </c>
      <c r="P246" s="4">
        <v>0.0</v>
      </c>
      <c r="Q246" s="5"/>
      <c r="R246" s="4">
        <v>24271.0</v>
      </c>
      <c r="S246" s="4">
        <v>401044.59</v>
      </c>
      <c r="T246" s="4">
        <v>136420.02</v>
      </c>
      <c r="U246" s="5" t="s">
        <v>1023</v>
      </c>
      <c r="V246" s="5" t="s">
        <v>36</v>
      </c>
      <c r="W246" s="4">
        <v>0.0</v>
      </c>
      <c r="X246" s="4">
        <v>0.0</v>
      </c>
      <c r="Y246" s="4">
        <v>2.0</v>
      </c>
      <c r="Z246" s="4">
        <v>2.0</v>
      </c>
      <c r="AA246" s="4">
        <v>18.0</v>
      </c>
      <c r="AB246" s="4">
        <v>20.0</v>
      </c>
      <c r="AC246" s="5" t="s">
        <v>1024</v>
      </c>
      <c r="AD246" s="5"/>
      <c r="AE246" s="7" t="s">
        <v>50</v>
      </c>
    </row>
    <row r="247">
      <c r="A247" s="4">
        <v>-8574590.7082</v>
      </c>
      <c r="B247" s="4">
        <v>4714518.7807</v>
      </c>
      <c r="C247" s="4">
        <v>362106.0</v>
      </c>
      <c r="D247" s="5" t="s">
        <v>51</v>
      </c>
      <c r="E247" s="5" t="s">
        <v>1025</v>
      </c>
      <c r="F247" s="5" t="s">
        <v>1026</v>
      </c>
      <c r="G247" s="5" t="s">
        <v>33</v>
      </c>
      <c r="H247" s="5" t="s">
        <v>34</v>
      </c>
      <c r="I247" s="4">
        <v>1.0</v>
      </c>
      <c r="J247" s="4">
        <v>38.9500397</v>
      </c>
      <c r="K247" s="4">
        <v>-77.02685659</v>
      </c>
      <c r="L247" s="4">
        <v>0.0</v>
      </c>
      <c r="M247" s="4">
        <v>0.0</v>
      </c>
      <c r="N247" s="4">
        <v>0.0</v>
      </c>
      <c r="O247" s="4">
        <v>1.0</v>
      </c>
      <c r="P247" s="4">
        <v>0.0</v>
      </c>
      <c r="Q247" s="5"/>
      <c r="R247" s="4">
        <v>285023.0</v>
      </c>
      <c r="S247" s="4">
        <v>397671.99</v>
      </c>
      <c r="T247" s="4">
        <v>142460.44</v>
      </c>
      <c r="U247" s="5" t="s">
        <v>1027</v>
      </c>
      <c r="V247" s="5" t="s">
        <v>36</v>
      </c>
      <c r="W247" s="4">
        <v>0.0</v>
      </c>
      <c r="X247" s="4">
        <v>0.0</v>
      </c>
      <c r="Y247" s="4">
        <v>1.0</v>
      </c>
      <c r="Z247" s="4">
        <v>1.0</v>
      </c>
      <c r="AA247" s="4">
        <v>19.0</v>
      </c>
      <c r="AB247" s="4">
        <v>20.0</v>
      </c>
      <c r="AC247" s="5" t="s">
        <v>1028</v>
      </c>
      <c r="AD247" s="5"/>
      <c r="AE247" s="7" t="s">
        <v>50</v>
      </c>
    </row>
    <row r="248">
      <c r="A248" s="4">
        <v>-8570708.5692</v>
      </c>
      <c r="B248" s="4">
        <v>4707900.6395</v>
      </c>
      <c r="C248" s="4">
        <v>362107.0</v>
      </c>
      <c r="D248" s="5" t="s">
        <v>56</v>
      </c>
      <c r="E248" s="5" t="s">
        <v>1029</v>
      </c>
      <c r="F248" s="5" t="s">
        <v>1030</v>
      </c>
      <c r="G248" s="5" t="s">
        <v>33</v>
      </c>
      <c r="H248" s="5" t="s">
        <v>34</v>
      </c>
      <c r="I248" s="4">
        <v>1.0</v>
      </c>
      <c r="J248" s="4">
        <v>38.9037804</v>
      </c>
      <c r="K248" s="4">
        <v>-76.99198852</v>
      </c>
      <c r="L248" s="4">
        <v>0.0</v>
      </c>
      <c r="M248" s="4">
        <v>0.0</v>
      </c>
      <c r="N248" s="4">
        <v>1.0</v>
      </c>
      <c r="O248" s="4">
        <v>0.0</v>
      </c>
      <c r="P248" s="4">
        <v>0.0</v>
      </c>
      <c r="Q248" s="5"/>
      <c r="R248" s="4">
        <v>75348.0</v>
      </c>
      <c r="S248" s="4">
        <v>400695.41</v>
      </c>
      <c r="T248" s="4">
        <v>137325.94</v>
      </c>
      <c r="U248" s="5" t="s">
        <v>1031</v>
      </c>
      <c r="V248" s="5" t="s">
        <v>36</v>
      </c>
      <c r="W248" s="4">
        <v>0.0</v>
      </c>
      <c r="X248" s="4">
        <v>0.0</v>
      </c>
      <c r="Y248" s="4">
        <v>1.0</v>
      </c>
      <c r="Z248" s="4">
        <v>1.0</v>
      </c>
      <c r="AA248" s="4">
        <v>9.0</v>
      </c>
      <c r="AB248" s="4">
        <v>10.0</v>
      </c>
      <c r="AC248" s="5" t="s">
        <v>91</v>
      </c>
      <c r="AD248" s="5"/>
      <c r="AE248" s="7" t="s">
        <v>50</v>
      </c>
    </row>
    <row r="249">
      <c r="A249" s="4">
        <v>-8572469.5399</v>
      </c>
      <c r="B249" s="4">
        <v>4708862.8469</v>
      </c>
      <c r="C249" s="4">
        <v>362108.0</v>
      </c>
      <c r="D249" s="5" t="s">
        <v>56</v>
      </c>
      <c r="E249" s="5" t="s">
        <v>1032</v>
      </c>
      <c r="F249" s="5" t="s">
        <v>1033</v>
      </c>
      <c r="G249" s="5" t="s">
        <v>310</v>
      </c>
      <c r="H249" s="5" t="s">
        <v>34</v>
      </c>
      <c r="I249" s="4">
        <v>1.0</v>
      </c>
      <c r="J249" s="4">
        <v>38.91051517</v>
      </c>
      <c r="K249" s="4">
        <v>-77.00780182</v>
      </c>
      <c r="L249" s="4">
        <v>0.0</v>
      </c>
      <c r="M249" s="4">
        <v>0.0</v>
      </c>
      <c r="N249" s="4">
        <v>1.0</v>
      </c>
      <c r="O249" s="4">
        <v>0.0</v>
      </c>
      <c r="P249" s="4">
        <v>0.0</v>
      </c>
      <c r="Q249" s="5"/>
      <c r="R249" s="4">
        <v>308590.0</v>
      </c>
      <c r="S249" s="4">
        <v>399323.34</v>
      </c>
      <c r="T249" s="4">
        <v>138072.6</v>
      </c>
      <c r="U249" s="5" t="s">
        <v>1034</v>
      </c>
      <c r="V249" s="5" t="s">
        <v>36</v>
      </c>
      <c r="W249" s="4">
        <v>0.0</v>
      </c>
      <c r="X249" s="4">
        <v>0.0</v>
      </c>
      <c r="Y249" s="4">
        <v>1.0</v>
      </c>
      <c r="Z249" s="4">
        <v>1.0</v>
      </c>
      <c r="AA249" s="4">
        <v>18.0</v>
      </c>
      <c r="AB249" s="4">
        <v>19.0</v>
      </c>
      <c r="AC249" s="5"/>
      <c r="AD249" s="5"/>
      <c r="AE249" s="7" t="s">
        <v>855</v>
      </c>
    </row>
    <row r="250">
      <c r="A250" s="4">
        <v>-8570620.4476</v>
      </c>
      <c r="B250" s="4">
        <v>4711691.7644</v>
      </c>
      <c r="C250" s="4">
        <v>362111.0</v>
      </c>
      <c r="D250" s="5" t="s">
        <v>56</v>
      </c>
      <c r="E250" s="5" t="s">
        <v>1035</v>
      </c>
      <c r="F250" s="5" t="s">
        <v>1036</v>
      </c>
      <c r="G250" s="5" t="s">
        <v>33</v>
      </c>
      <c r="H250" s="5" t="s">
        <v>34</v>
      </c>
      <c r="I250" s="4">
        <v>2.0</v>
      </c>
      <c r="J250" s="4">
        <v>38.93035285</v>
      </c>
      <c r="K250" s="4">
        <v>-76.99119436</v>
      </c>
      <c r="L250" s="4">
        <v>0.0</v>
      </c>
      <c r="M250" s="4">
        <v>0.0</v>
      </c>
      <c r="N250" s="4">
        <v>2.0</v>
      </c>
      <c r="O250" s="4">
        <v>0.0</v>
      </c>
      <c r="P250" s="4">
        <v>0.0</v>
      </c>
      <c r="Q250" s="5"/>
      <c r="R250" s="4">
        <v>75176.0</v>
      </c>
      <c r="S250" s="4">
        <v>400763.79</v>
      </c>
      <c r="T250" s="4">
        <v>140267.41</v>
      </c>
      <c r="U250" s="5" t="s">
        <v>1037</v>
      </c>
      <c r="V250" s="5" t="s">
        <v>36</v>
      </c>
      <c r="W250" s="4">
        <v>0.0</v>
      </c>
      <c r="X250" s="4">
        <v>0.0</v>
      </c>
      <c r="Y250" s="4">
        <v>2.0</v>
      </c>
      <c r="Z250" s="4">
        <v>2.0</v>
      </c>
      <c r="AA250" s="4">
        <v>20.0</v>
      </c>
      <c r="AB250" s="4">
        <v>22.0</v>
      </c>
      <c r="AC250" s="5" t="s">
        <v>1038</v>
      </c>
      <c r="AD250" s="5"/>
      <c r="AE250" s="7" t="s">
        <v>50</v>
      </c>
    </row>
    <row r="251">
      <c r="A251" s="4">
        <v>-8570048.3887</v>
      </c>
      <c r="B251" s="4">
        <v>4707539.6497</v>
      </c>
      <c r="C251" s="4">
        <v>362112.0</v>
      </c>
      <c r="D251" s="5" t="s">
        <v>56</v>
      </c>
      <c r="E251" s="5" t="s">
        <v>1039</v>
      </c>
      <c r="F251" s="5" t="s">
        <v>1040</v>
      </c>
      <c r="G251" s="5" t="s">
        <v>33</v>
      </c>
      <c r="H251" s="5" t="s">
        <v>34</v>
      </c>
      <c r="I251" s="4">
        <v>3.0</v>
      </c>
      <c r="J251" s="4">
        <v>38.9013248</v>
      </c>
      <c r="K251" s="4">
        <v>-76.98609467</v>
      </c>
      <c r="L251" s="4">
        <v>0.0</v>
      </c>
      <c r="M251" s="4">
        <v>0.0</v>
      </c>
      <c r="N251" s="4">
        <v>0.0</v>
      </c>
      <c r="O251" s="4">
        <v>3.0</v>
      </c>
      <c r="P251" s="4">
        <v>0.0</v>
      </c>
      <c r="Q251" s="5"/>
      <c r="R251" s="4">
        <v>149956.0</v>
      </c>
      <c r="S251" s="4">
        <v>401209.86</v>
      </c>
      <c r="T251" s="4">
        <v>137045.86</v>
      </c>
      <c r="U251" s="5" t="s">
        <v>1041</v>
      </c>
      <c r="V251" s="5" t="s">
        <v>36</v>
      </c>
      <c r="W251" s="4">
        <v>0.0</v>
      </c>
      <c r="X251" s="4">
        <v>0.0</v>
      </c>
      <c r="Y251" s="4">
        <v>3.0</v>
      </c>
      <c r="Z251" s="4">
        <v>3.0</v>
      </c>
      <c r="AA251" s="4">
        <v>36.0</v>
      </c>
      <c r="AB251" s="4">
        <v>39.0</v>
      </c>
      <c r="AC251" s="5" t="s">
        <v>1042</v>
      </c>
      <c r="AD251" s="5"/>
      <c r="AE251" s="7" t="s">
        <v>50</v>
      </c>
    </row>
    <row r="252">
      <c r="A252" s="4">
        <v>-8574392.748</v>
      </c>
      <c r="B252" s="4">
        <v>4715368.2191</v>
      </c>
      <c r="C252" s="4">
        <v>362113.0</v>
      </c>
      <c r="D252" s="5" t="s">
        <v>51</v>
      </c>
      <c r="E252" s="5" t="s">
        <v>1043</v>
      </c>
      <c r="F252" s="5" t="s">
        <v>1044</v>
      </c>
      <c r="G252" s="5" t="s">
        <v>33</v>
      </c>
      <c r="H252" s="5" t="s">
        <v>34</v>
      </c>
      <c r="I252" s="4">
        <v>1.0</v>
      </c>
      <c r="J252" s="4">
        <v>38.95608977</v>
      </c>
      <c r="K252" s="4">
        <v>-77.02508905</v>
      </c>
      <c r="L252" s="4">
        <v>0.0</v>
      </c>
      <c r="M252" s="4">
        <v>0.0</v>
      </c>
      <c r="N252" s="4">
        <v>1.0</v>
      </c>
      <c r="O252" s="4">
        <v>0.0</v>
      </c>
      <c r="P252" s="4">
        <v>0.0</v>
      </c>
      <c r="Q252" s="5"/>
      <c r="R252" s="4">
        <v>254542.0</v>
      </c>
      <c r="S252" s="4">
        <v>397826.32</v>
      </c>
      <c r="T252" s="4">
        <v>143119.13</v>
      </c>
      <c r="U252" s="5" t="s">
        <v>1045</v>
      </c>
      <c r="V252" s="5" t="s">
        <v>36</v>
      </c>
      <c r="W252" s="4">
        <v>0.0</v>
      </c>
      <c r="X252" s="4">
        <v>0.0</v>
      </c>
      <c r="Y252" s="4">
        <v>1.0</v>
      </c>
      <c r="Z252" s="4">
        <v>1.0</v>
      </c>
      <c r="AA252" s="4">
        <v>16.0</v>
      </c>
      <c r="AB252" s="4">
        <v>17.0</v>
      </c>
      <c r="AC252" s="5" t="s">
        <v>1046</v>
      </c>
      <c r="AD252" s="5"/>
      <c r="AE252" s="7" t="s">
        <v>50</v>
      </c>
    </row>
    <row r="253">
      <c r="A253" s="4">
        <v>-8571558.4351</v>
      </c>
      <c r="B253" s="4">
        <v>4708369.4375</v>
      </c>
      <c r="C253" s="4">
        <v>362117.0</v>
      </c>
      <c r="D253" s="5" t="s">
        <v>56</v>
      </c>
      <c r="E253" s="5" t="s">
        <v>1047</v>
      </c>
      <c r="F253" s="5" t="s">
        <v>1048</v>
      </c>
      <c r="G253" s="5" t="s">
        <v>33</v>
      </c>
      <c r="H253" s="5" t="s">
        <v>42</v>
      </c>
      <c r="I253" s="4">
        <v>15.0</v>
      </c>
      <c r="J253" s="4">
        <v>38.90710496</v>
      </c>
      <c r="K253" s="4">
        <v>-76.99966542</v>
      </c>
      <c r="L253" s="4">
        <v>0.0</v>
      </c>
      <c r="M253" s="4">
        <v>7.0</v>
      </c>
      <c r="N253" s="4">
        <v>0.0</v>
      </c>
      <c r="O253" s="4">
        <v>8.0</v>
      </c>
      <c r="P253" s="4">
        <v>0.0</v>
      </c>
      <c r="Q253" s="5" t="s">
        <v>1049</v>
      </c>
      <c r="R253" s="4">
        <v>28323.0</v>
      </c>
      <c r="S253" s="4">
        <v>400033.2</v>
      </c>
      <c r="T253" s="4">
        <v>137689.7</v>
      </c>
      <c r="U253" s="5" t="s">
        <v>1050</v>
      </c>
      <c r="V253" s="5" t="s">
        <v>36</v>
      </c>
      <c r="W253" s="4">
        <v>0.0</v>
      </c>
      <c r="X253" s="4">
        <v>0.0</v>
      </c>
      <c r="Y253" s="4">
        <v>15.0</v>
      </c>
      <c r="Z253" s="4">
        <v>15.0</v>
      </c>
      <c r="AA253" s="4">
        <v>95.0</v>
      </c>
      <c r="AB253" s="4">
        <v>110.0</v>
      </c>
      <c r="AC253" s="5" t="s">
        <v>1051</v>
      </c>
      <c r="AD253" s="5"/>
      <c r="AE253" s="7"/>
    </row>
    <row r="254">
      <c r="A254" s="4">
        <v>-8575159.517</v>
      </c>
      <c r="B254" s="4">
        <v>4711108.893</v>
      </c>
      <c r="C254" s="4">
        <v>362118.0</v>
      </c>
      <c r="D254" s="5" t="s">
        <v>114</v>
      </c>
      <c r="E254" s="5" t="s">
        <v>1052</v>
      </c>
      <c r="F254" s="5" t="s">
        <v>1053</v>
      </c>
      <c r="G254" s="5" t="s">
        <v>33</v>
      </c>
      <c r="H254" s="5" t="s">
        <v>81</v>
      </c>
      <c r="I254" s="4">
        <v>179.0</v>
      </c>
      <c r="J254" s="4">
        <v>38.92621339</v>
      </c>
      <c r="K254" s="4">
        <v>-77.03196628</v>
      </c>
      <c r="L254" s="4">
        <v>43.0</v>
      </c>
      <c r="M254" s="4">
        <v>119.0</v>
      </c>
      <c r="N254" s="4">
        <v>0.0</v>
      </c>
      <c r="O254" s="4">
        <v>17.0</v>
      </c>
      <c r="P254" s="4">
        <v>0.0</v>
      </c>
      <c r="Q254" s="5"/>
      <c r="R254" s="4">
        <v>231582.0</v>
      </c>
      <c r="S254" s="4">
        <v>397228.14</v>
      </c>
      <c r="T254" s="4">
        <v>139815.69</v>
      </c>
      <c r="U254" s="5" t="s">
        <v>1054</v>
      </c>
      <c r="V254" s="5" t="s">
        <v>36</v>
      </c>
      <c r="W254" s="4">
        <v>0.0</v>
      </c>
      <c r="X254" s="4">
        <v>0.0</v>
      </c>
      <c r="Y254" s="4">
        <v>179.0</v>
      </c>
      <c r="Z254" s="4">
        <v>179.0</v>
      </c>
      <c r="AA254" s="4">
        <v>0.0</v>
      </c>
      <c r="AB254" s="4">
        <v>179.0</v>
      </c>
      <c r="AC254" s="5" t="s">
        <v>1055</v>
      </c>
      <c r="AD254" s="5"/>
      <c r="AE254" s="7" t="s">
        <v>50</v>
      </c>
    </row>
    <row r="255">
      <c r="A255" s="4">
        <v>-8568398.6993</v>
      </c>
      <c r="B255" s="4">
        <v>4699975.7819</v>
      </c>
      <c r="C255" s="4">
        <v>362119.0</v>
      </c>
      <c r="D255" s="5" t="s">
        <v>45</v>
      </c>
      <c r="E255" s="5" t="s">
        <v>1056</v>
      </c>
      <c r="F255" s="5" t="s">
        <v>1057</v>
      </c>
      <c r="G255" s="5" t="s">
        <v>33</v>
      </c>
      <c r="H255" s="5" t="s">
        <v>102</v>
      </c>
      <c r="I255" s="4">
        <v>130.0</v>
      </c>
      <c r="J255" s="4">
        <v>38.84844497</v>
      </c>
      <c r="K255" s="4">
        <v>-76.97157104</v>
      </c>
      <c r="L255" s="4">
        <v>14.0</v>
      </c>
      <c r="M255" s="4">
        <v>42.0</v>
      </c>
      <c r="N255" s="4">
        <v>74.0</v>
      </c>
      <c r="O255" s="4">
        <v>0.0</v>
      </c>
      <c r="P255" s="4">
        <v>0.0</v>
      </c>
      <c r="Q255" s="5" t="s">
        <v>1058</v>
      </c>
      <c r="R255" s="4">
        <v>319271.0</v>
      </c>
      <c r="S255" s="4">
        <v>402497.18</v>
      </c>
      <c r="T255" s="4">
        <v>131174.05</v>
      </c>
      <c r="U255" s="5" t="s">
        <v>1059</v>
      </c>
      <c r="V255" s="5" t="s">
        <v>36</v>
      </c>
      <c r="W255" s="4">
        <v>61.0</v>
      </c>
      <c r="X255" s="4">
        <v>0.0</v>
      </c>
      <c r="Y255" s="4">
        <v>69.0</v>
      </c>
      <c r="Z255" s="4">
        <v>69.0</v>
      </c>
      <c r="AA255" s="4">
        <v>0.0</v>
      </c>
      <c r="AB255" s="4">
        <v>130.0</v>
      </c>
      <c r="AC255" s="5" t="s">
        <v>1060</v>
      </c>
      <c r="AD255" s="5"/>
      <c r="AE255" s="5"/>
    </row>
    <row r="256">
      <c r="A256" s="4">
        <v>-8571724.5229</v>
      </c>
      <c r="B256" s="4">
        <v>4696574.5019</v>
      </c>
      <c r="C256" s="4">
        <v>362121.0</v>
      </c>
      <c r="D256" s="5" t="s">
        <v>45</v>
      </c>
      <c r="E256" s="5" t="s">
        <v>1061</v>
      </c>
      <c r="F256" s="5" t="s">
        <v>1062</v>
      </c>
      <c r="G256" s="5" t="s">
        <v>33</v>
      </c>
      <c r="H256" s="5" t="s">
        <v>81</v>
      </c>
      <c r="I256" s="4">
        <v>394.0</v>
      </c>
      <c r="J256" s="4">
        <v>38.82456753</v>
      </c>
      <c r="K256" s="4">
        <v>-77.00110922</v>
      </c>
      <c r="L256" s="4">
        <v>40.0</v>
      </c>
      <c r="M256" s="4">
        <v>83.0</v>
      </c>
      <c r="N256" s="4">
        <v>271.0</v>
      </c>
      <c r="O256" s="4">
        <v>0.0</v>
      </c>
      <c r="P256" s="4">
        <v>0.0</v>
      </c>
      <c r="Q256" s="5"/>
      <c r="R256" s="4">
        <v>276649.0</v>
      </c>
      <c r="S256" s="4">
        <v>399903.68</v>
      </c>
      <c r="T256" s="4">
        <v>128531.71</v>
      </c>
      <c r="U256" s="5" t="s">
        <v>1063</v>
      </c>
      <c r="V256" s="5" t="s">
        <v>36</v>
      </c>
      <c r="W256" s="4">
        <v>394.0</v>
      </c>
      <c r="X256" s="4">
        <v>0.0</v>
      </c>
      <c r="Y256" s="4">
        <v>0.0</v>
      </c>
      <c r="Z256" s="4">
        <v>0.0</v>
      </c>
      <c r="AA256" s="4">
        <v>0.0</v>
      </c>
      <c r="AB256" s="4">
        <v>394.0</v>
      </c>
      <c r="AC256" s="5" t="s">
        <v>1064</v>
      </c>
      <c r="AD256" s="5"/>
      <c r="AE256" s="7" t="s">
        <v>50</v>
      </c>
    </row>
    <row r="257">
      <c r="A257" s="4">
        <v>-8574675.1486</v>
      </c>
      <c r="B257" s="4">
        <v>4718366.1058</v>
      </c>
      <c r="C257" s="4">
        <v>362122.0</v>
      </c>
      <c r="D257" s="5" t="s">
        <v>51</v>
      </c>
      <c r="E257" s="5" t="s">
        <v>1065</v>
      </c>
      <c r="F257" s="5" t="s">
        <v>1066</v>
      </c>
      <c r="G257" s="5" t="s">
        <v>33</v>
      </c>
      <c r="H257" s="5" t="s">
        <v>501</v>
      </c>
      <c r="I257" s="4">
        <v>9.0</v>
      </c>
      <c r="J257" s="4">
        <v>38.97689497</v>
      </c>
      <c r="K257" s="4">
        <v>-77.02790583</v>
      </c>
      <c r="L257" s="4">
        <v>0.0</v>
      </c>
      <c r="M257" s="4">
        <v>0.0</v>
      </c>
      <c r="N257" s="4">
        <v>0.0</v>
      </c>
      <c r="O257" s="4">
        <v>9.0</v>
      </c>
      <c r="P257" s="4">
        <v>0.0</v>
      </c>
      <c r="Q257" s="5"/>
      <c r="R257" s="4">
        <v>334719.0</v>
      </c>
      <c r="S257" s="4">
        <v>397607.14</v>
      </c>
      <c r="T257" s="4">
        <v>145443.6</v>
      </c>
      <c r="U257" s="5" t="s">
        <v>1067</v>
      </c>
      <c r="V257" s="5" t="s">
        <v>36</v>
      </c>
      <c r="W257" s="4">
        <v>0.0</v>
      </c>
      <c r="X257" s="4">
        <v>0.0</v>
      </c>
      <c r="Y257" s="4">
        <v>9.0</v>
      </c>
      <c r="Z257" s="4">
        <v>9.0</v>
      </c>
      <c r="AA257" s="4">
        <v>100.0</v>
      </c>
      <c r="AB257" s="4">
        <v>109.0</v>
      </c>
      <c r="AC257" s="5" t="s">
        <v>1068</v>
      </c>
      <c r="AD257" s="5"/>
      <c r="AE257" s="7" t="s">
        <v>50</v>
      </c>
    </row>
    <row r="258">
      <c r="A258" s="4">
        <v>-8574669.1235</v>
      </c>
      <c r="B258" s="4">
        <v>4718238.3924</v>
      </c>
      <c r="C258" s="4">
        <v>362123.0</v>
      </c>
      <c r="D258" s="5" t="s">
        <v>51</v>
      </c>
      <c r="E258" s="5" t="s">
        <v>1069</v>
      </c>
      <c r="F258" s="5" t="s">
        <v>1070</v>
      </c>
      <c r="G258" s="5" t="s">
        <v>33</v>
      </c>
      <c r="H258" s="5" t="s">
        <v>63</v>
      </c>
      <c r="I258" s="4">
        <v>38.0</v>
      </c>
      <c r="J258" s="4">
        <v>38.97602035</v>
      </c>
      <c r="K258" s="4">
        <v>-77.027561</v>
      </c>
      <c r="L258" s="4">
        <v>0.0</v>
      </c>
      <c r="M258" s="4">
        <v>0.0</v>
      </c>
      <c r="N258" s="4">
        <v>0.0</v>
      </c>
      <c r="O258" s="4">
        <v>38.0</v>
      </c>
      <c r="P258" s="4">
        <v>0.0</v>
      </c>
      <c r="Q258" s="5"/>
      <c r="R258" s="4">
        <v>335855.0</v>
      </c>
      <c r="S258" s="4">
        <v>397611.8</v>
      </c>
      <c r="T258" s="4">
        <v>145344.59</v>
      </c>
      <c r="U258" s="5" t="s">
        <v>1071</v>
      </c>
      <c r="V258" s="5" t="s">
        <v>36</v>
      </c>
      <c r="W258" s="4">
        <v>0.0</v>
      </c>
      <c r="X258" s="4">
        <v>0.0</v>
      </c>
      <c r="Y258" s="4">
        <v>38.0</v>
      </c>
      <c r="Z258" s="4">
        <v>38.0</v>
      </c>
      <c r="AA258" s="4">
        <v>210.0</v>
      </c>
      <c r="AB258" s="4">
        <v>248.0</v>
      </c>
      <c r="AC258" s="5" t="s">
        <v>1072</v>
      </c>
      <c r="AD258" s="5"/>
      <c r="AE258" s="7" t="s">
        <v>50</v>
      </c>
    </row>
    <row r="259">
      <c r="A259" s="4">
        <v>-8568620.9037</v>
      </c>
      <c r="B259" s="4">
        <v>4703514.3033</v>
      </c>
      <c r="C259" s="4">
        <v>362126.0</v>
      </c>
      <c r="D259" s="5" t="s">
        <v>45</v>
      </c>
      <c r="E259" s="5" t="s">
        <v>1073</v>
      </c>
      <c r="F259" s="5" t="s">
        <v>1074</v>
      </c>
      <c r="G259" s="5" t="s">
        <v>33</v>
      </c>
      <c r="H259" s="5" t="s">
        <v>34</v>
      </c>
      <c r="I259" s="4">
        <v>1.0</v>
      </c>
      <c r="J259" s="4">
        <v>38.87314229</v>
      </c>
      <c r="K259" s="4">
        <v>-76.9732854</v>
      </c>
      <c r="L259" s="4">
        <v>0.0</v>
      </c>
      <c r="M259" s="4">
        <v>0.0</v>
      </c>
      <c r="N259" s="4">
        <v>1.0</v>
      </c>
      <c r="O259" s="4">
        <v>0.0</v>
      </c>
      <c r="P259" s="4">
        <v>0.0</v>
      </c>
      <c r="Q259" s="5"/>
      <c r="R259" s="4">
        <v>48826.0</v>
      </c>
      <c r="S259" s="4">
        <v>402323.1</v>
      </c>
      <c r="T259" s="4">
        <v>133921.62</v>
      </c>
      <c r="U259" s="5" t="s">
        <v>1075</v>
      </c>
      <c r="V259" s="5" t="s">
        <v>36</v>
      </c>
      <c r="W259" s="4">
        <v>0.0</v>
      </c>
      <c r="X259" s="4">
        <v>0.0</v>
      </c>
      <c r="Y259" s="4">
        <v>1.0</v>
      </c>
      <c r="Z259" s="4">
        <v>1.0</v>
      </c>
      <c r="AA259" s="4">
        <v>18.0</v>
      </c>
      <c r="AB259" s="4">
        <v>19.0</v>
      </c>
      <c r="AC259" s="5" t="s">
        <v>1076</v>
      </c>
      <c r="AD259" s="5"/>
      <c r="AE259" s="7" t="s">
        <v>50</v>
      </c>
    </row>
    <row r="260">
      <c r="A260" s="4">
        <v>-8573881.9491</v>
      </c>
      <c r="B260" s="4">
        <v>4709630.8477</v>
      </c>
      <c r="C260" s="4">
        <v>362127.0</v>
      </c>
      <c r="D260" s="5" t="s">
        <v>114</v>
      </c>
      <c r="E260" s="5" t="s">
        <v>1077</v>
      </c>
      <c r="F260" s="5" t="s">
        <v>1078</v>
      </c>
      <c r="G260" s="5" t="s">
        <v>33</v>
      </c>
      <c r="H260" s="5" t="s">
        <v>34</v>
      </c>
      <c r="I260" s="4">
        <v>1.0</v>
      </c>
      <c r="J260" s="4">
        <v>38.91588366</v>
      </c>
      <c r="K260" s="4">
        <v>-77.0204897</v>
      </c>
      <c r="L260" s="4">
        <v>0.0</v>
      </c>
      <c r="M260" s="4">
        <v>0.0</v>
      </c>
      <c r="N260" s="4">
        <v>1.0</v>
      </c>
      <c r="O260" s="4">
        <v>0.0</v>
      </c>
      <c r="P260" s="4">
        <v>0.0</v>
      </c>
      <c r="Q260" s="5"/>
      <c r="R260" s="4">
        <v>229860.0</v>
      </c>
      <c r="S260" s="4">
        <v>398223.04</v>
      </c>
      <c r="T260" s="4">
        <v>138668.68</v>
      </c>
      <c r="U260" s="5" t="s">
        <v>1079</v>
      </c>
      <c r="V260" s="5" t="s">
        <v>36</v>
      </c>
      <c r="W260" s="4">
        <v>0.0</v>
      </c>
      <c r="X260" s="4">
        <v>0.0</v>
      </c>
      <c r="Y260" s="4">
        <v>1.0</v>
      </c>
      <c r="Z260" s="4">
        <v>1.0</v>
      </c>
      <c r="AA260" s="4">
        <v>6.0</v>
      </c>
      <c r="AB260" s="4">
        <v>7.0</v>
      </c>
      <c r="AC260" s="5" t="s">
        <v>1080</v>
      </c>
      <c r="AD260" s="5"/>
      <c r="AE260" s="7" t="s">
        <v>50</v>
      </c>
    </row>
    <row r="261">
      <c r="A261" s="4">
        <v>-8582288.2406</v>
      </c>
      <c r="B261" s="4">
        <v>4709864.8787</v>
      </c>
      <c r="C261" s="4">
        <v>362128.0</v>
      </c>
      <c r="D261" s="5" t="s">
        <v>341</v>
      </c>
      <c r="E261" s="5" t="s">
        <v>1081</v>
      </c>
      <c r="F261" s="5" t="s">
        <v>1082</v>
      </c>
      <c r="G261" s="5" t="s">
        <v>33</v>
      </c>
      <c r="H261" s="5" t="s">
        <v>34</v>
      </c>
      <c r="I261" s="4">
        <v>6.0</v>
      </c>
      <c r="J261" s="4">
        <v>38.91743283</v>
      </c>
      <c r="K261" s="4">
        <v>-77.0959333</v>
      </c>
      <c r="L261" s="4">
        <v>0.0</v>
      </c>
      <c r="M261" s="4">
        <v>2.0</v>
      </c>
      <c r="N261" s="4">
        <v>4.0</v>
      </c>
      <c r="O261" s="4">
        <v>0.0</v>
      </c>
      <c r="P261" s="4">
        <v>0.0</v>
      </c>
      <c r="Q261" s="5"/>
      <c r="R261" s="4">
        <v>285004.0</v>
      </c>
      <c r="S261" s="4">
        <v>391674.23</v>
      </c>
      <c r="T261" s="4">
        <v>138854.44</v>
      </c>
      <c r="U261" s="5" t="s">
        <v>1083</v>
      </c>
      <c r="V261" s="5" t="s">
        <v>36</v>
      </c>
      <c r="W261" s="4">
        <v>0.0</v>
      </c>
      <c r="X261" s="4">
        <v>0.0</v>
      </c>
      <c r="Y261" s="4">
        <v>6.0</v>
      </c>
      <c r="Z261" s="4">
        <v>6.0</v>
      </c>
      <c r="AA261" s="4">
        <v>124.0</v>
      </c>
      <c r="AB261" s="4">
        <v>130.0</v>
      </c>
      <c r="AC261" s="5" t="s">
        <v>1084</v>
      </c>
      <c r="AD261" s="5"/>
      <c r="AE261" s="7" t="s">
        <v>50</v>
      </c>
    </row>
    <row r="262">
      <c r="A262" s="4">
        <v>-8575277.9288</v>
      </c>
      <c r="B262" s="4">
        <v>4713019.9247</v>
      </c>
      <c r="C262" s="4">
        <v>362129.0</v>
      </c>
      <c r="D262" s="5" t="s">
        <v>51</v>
      </c>
      <c r="E262" s="5" t="s">
        <v>1085</v>
      </c>
      <c r="F262" s="5" t="s">
        <v>1086</v>
      </c>
      <c r="G262" s="5" t="s">
        <v>33</v>
      </c>
      <c r="H262" s="5" t="s">
        <v>34</v>
      </c>
      <c r="I262" s="4">
        <v>1.0</v>
      </c>
      <c r="J262" s="4">
        <v>38.93956736</v>
      </c>
      <c r="K262" s="4">
        <v>-77.03302999</v>
      </c>
      <c r="L262" s="4">
        <v>0.0</v>
      </c>
      <c r="M262" s="4">
        <v>0.0</v>
      </c>
      <c r="N262" s="4">
        <v>1.0</v>
      </c>
      <c r="O262" s="4">
        <v>0.0</v>
      </c>
      <c r="P262" s="4">
        <v>0.0</v>
      </c>
      <c r="Q262" s="5"/>
      <c r="R262" s="4">
        <v>284808.0</v>
      </c>
      <c r="S262" s="4">
        <v>397136.44</v>
      </c>
      <c r="T262" s="4">
        <v>141298.13</v>
      </c>
      <c r="U262" s="5" t="s">
        <v>1087</v>
      </c>
      <c r="V262" s="5" t="s">
        <v>36</v>
      </c>
      <c r="W262" s="4">
        <v>0.0</v>
      </c>
      <c r="X262" s="4">
        <v>0.0</v>
      </c>
      <c r="Y262" s="4">
        <v>1.0</v>
      </c>
      <c r="Z262" s="4">
        <v>1.0</v>
      </c>
      <c r="AA262" s="4">
        <v>16.0</v>
      </c>
      <c r="AB262" s="4">
        <v>17.0</v>
      </c>
      <c r="AC262" s="5" t="s">
        <v>1088</v>
      </c>
      <c r="AD262" s="5"/>
      <c r="AE262" s="7" t="s">
        <v>50</v>
      </c>
    </row>
    <row r="263">
      <c r="A263" s="4">
        <v>-8571275.4277</v>
      </c>
      <c r="B263" s="4">
        <v>4708649.0922</v>
      </c>
      <c r="C263" s="4">
        <v>362130.0</v>
      </c>
      <c r="D263" s="5" t="s">
        <v>56</v>
      </c>
      <c r="E263" s="5" t="s">
        <v>1089</v>
      </c>
      <c r="F263" s="5" t="s">
        <v>1090</v>
      </c>
      <c r="G263" s="5" t="s">
        <v>33</v>
      </c>
      <c r="H263" s="5" t="s">
        <v>42</v>
      </c>
      <c r="I263" s="4">
        <v>24.0</v>
      </c>
      <c r="J263" s="4">
        <v>38.909021</v>
      </c>
      <c r="K263" s="4">
        <v>-76.99707493</v>
      </c>
      <c r="L263" s="4">
        <v>0.0</v>
      </c>
      <c r="M263" s="4">
        <v>7.0</v>
      </c>
      <c r="N263" s="4">
        <v>17.0</v>
      </c>
      <c r="O263" s="4">
        <v>0.0</v>
      </c>
      <c r="P263" s="4">
        <v>0.0</v>
      </c>
      <c r="Q263" s="5" t="s">
        <v>1091</v>
      </c>
      <c r="R263" s="4">
        <v>286052.0</v>
      </c>
      <c r="S263" s="4">
        <v>400253.7</v>
      </c>
      <c r="T263" s="4">
        <v>137906.71</v>
      </c>
      <c r="U263" s="5" t="s">
        <v>1092</v>
      </c>
      <c r="V263" s="5" t="s">
        <v>36</v>
      </c>
      <c r="W263" s="4">
        <v>0.0</v>
      </c>
      <c r="X263" s="4">
        <v>0.0</v>
      </c>
      <c r="Y263" s="4">
        <v>24.0</v>
      </c>
      <c r="Z263" s="4">
        <v>24.0</v>
      </c>
      <c r="AA263" s="4">
        <v>276.0</v>
      </c>
      <c r="AB263" s="4">
        <v>300.0</v>
      </c>
      <c r="AC263" s="5" t="s">
        <v>1093</v>
      </c>
      <c r="AD263" s="5"/>
      <c r="AE263" s="5"/>
    </row>
    <row r="264">
      <c r="A264" s="4">
        <v>-8574699.591</v>
      </c>
      <c r="B264" s="4">
        <v>4710230.3432</v>
      </c>
      <c r="C264" s="4">
        <v>362131.0</v>
      </c>
      <c r="D264" s="5" t="s">
        <v>114</v>
      </c>
      <c r="E264" s="5" t="s">
        <v>1094</v>
      </c>
      <c r="F264" s="5" t="s">
        <v>1095</v>
      </c>
      <c r="G264" s="5" t="s">
        <v>33</v>
      </c>
      <c r="H264" s="5" t="s">
        <v>34</v>
      </c>
      <c r="I264" s="4">
        <v>1.0</v>
      </c>
      <c r="J264" s="4">
        <v>38.92007338</v>
      </c>
      <c r="K264" s="4">
        <v>-77.0278347</v>
      </c>
      <c r="L264" s="4">
        <v>0.0</v>
      </c>
      <c r="M264" s="4">
        <v>1.0</v>
      </c>
      <c r="N264" s="4">
        <v>0.0</v>
      </c>
      <c r="O264" s="4">
        <v>0.0</v>
      </c>
      <c r="P264" s="4">
        <v>0.0</v>
      </c>
      <c r="Q264" s="5"/>
      <c r="R264" s="4">
        <v>238959.0</v>
      </c>
      <c r="S264" s="4">
        <v>397586.19</v>
      </c>
      <c r="T264" s="4">
        <v>139133.98</v>
      </c>
      <c r="U264" s="5" t="s">
        <v>1096</v>
      </c>
      <c r="V264" s="5" t="s">
        <v>36</v>
      </c>
      <c r="W264" s="4">
        <v>0.0</v>
      </c>
      <c r="X264" s="4">
        <v>0.0</v>
      </c>
      <c r="Y264" s="4">
        <v>1.0</v>
      </c>
      <c r="Z264" s="4">
        <v>1.0</v>
      </c>
      <c r="AA264" s="4">
        <v>9.0</v>
      </c>
      <c r="AB264" s="4">
        <v>10.0</v>
      </c>
      <c r="AC264" s="5" t="s">
        <v>1097</v>
      </c>
      <c r="AD264" s="5"/>
      <c r="AE264" s="7" t="s">
        <v>50</v>
      </c>
    </row>
    <row r="265">
      <c r="A265" s="4">
        <v>-8574701.5068</v>
      </c>
      <c r="B265" s="4">
        <v>4710240.5895</v>
      </c>
      <c r="C265" s="4">
        <v>362132.0</v>
      </c>
      <c r="D265" s="5" t="s">
        <v>114</v>
      </c>
      <c r="E265" s="5" t="s">
        <v>1098</v>
      </c>
      <c r="F265" s="5" t="s">
        <v>1099</v>
      </c>
      <c r="G265" s="5" t="s">
        <v>33</v>
      </c>
      <c r="H265" s="5" t="s">
        <v>34</v>
      </c>
      <c r="I265" s="4">
        <v>1.0</v>
      </c>
      <c r="J265" s="4">
        <v>38.920145</v>
      </c>
      <c r="K265" s="4">
        <v>-77.02785191</v>
      </c>
      <c r="L265" s="4">
        <v>0.0</v>
      </c>
      <c r="M265" s="4">
        <v>0.0</v>
      </c>
      <c r="N265" s="4">
        <v>1.0</v>
      </c>
      <c r="O265" s="4">
        <v>0.0</v>
      </c>
      <c r="P265" s="4">
        <v>0.0</v>
      </c>
      <c r="Q265" s="5"/>
      <c r="R265" s="4">
        <v>218122.0</v>
      </c>
      <c r="S265" s="4">
        <v>397584.7</v>
      </c>
      <c r="T265" s="4">
        <v>139141.93</v>
      </c>
      <c r="U265" s="5" t="s">
        <v>1100</v>
      </c>
      <c r="V265" s="5" t="s">
        <v>36</v>
      </c>
      <c r="W265" s="4">
        <v>0.0</v>
      </c>
      <c r="X265" s="4">
        <v>0.0</v>
      </c>
      <c r="Y265" s="4">
        <v>1.0</v>
      </c>
      <c r="Z265" s="4">
        <v>1.0</v>
      </c>
      <c r="AA265" s="4">
        <v>8.0</v>
      </c>
      <c r="AB265" s="4">
        <v>9.0</v>
      </c>
      <c r="AC265" s="5" t="s">
        <v>1097</v>
      </c>
      <c r="AD265" s="5"/>
      <c r="AE265" s="7" t="s">
        <v>50</v>
      </c>
    </row>
    <row r="266">
      <c r="A266" s="4">
        <v>-8570650.8039</v>
      </c>
      <c r="B266" s="4">
        <v>4712180.1651</v>
      </c>
      <c r="C266" s="4">
        <v>362133.0</v>
      </c>
      <c r="D266" s="5" t="s">
        <v>56</v>
      </c>
      <c r="E266" s="5" t="s">
        <v>1101</v>
      </c>
      <c r="F266" s="5" t="s">
        <v>1102</v>
      </c>
      <c r="G266" s="5" t="s">
        <v>33</v>
      </c>
      <c r="H266" s="5" t="s">
        <v>34</v>
      </c>
      <c r="I266" s="4">
        <v>1.0</v>
      </c>
      <c r="J266" s="4">
        <v>38.93370459</v>
      </c>
      <c r="K266" s="4">
        <v>-76.99149175</v>
      </c>
      <c r="L266" s="4">
        <v>0.0</v>
      </c>
      <c r="M266" s="4">
        <v>0.0</v>
      </c>
      <c r="N266" s="4">
        <v>1.0</v>
      </c>
      <c r="O266" s="4">
        <v>0.0</v>
      </c>
      <c r="P266" s="4">
        <v>0.0</v>
      </c>
      <c r="Q266" s="5"/>
      <c r="R266" s="4">
        <v>74999.0</v>
      </c>
      <c r="S266" s="4">
        <v>400740.11</v>
      </c>
      <c r="T266" s="4">
        <v>140646.27</v>
      </c>
      <c r="U266" s="5" t="s">
        <v>1103</v>
      </c>
      <c r="V266" s="5" t="s">
        <v>36</v>
      </c>
      <c r="W266" s="4">
        <v>0.0</v>
      </c>
      <c r="X266" s="4">
        <v>0.0</v>
      </c>
      <c r="Y266" s="4">
        <v>1.0</v>
      </c>
      <c r="Z266" s="4">
        <v>1.0</v>
      </c>
      <c r="AA266" s="4">
        <v>9.0</v>
      </c>
      <c r="AB266" s="4">
        <v>10.0</v>
      </c>
      <c r="AC266" s="5" t="s">
        <v>1104</v>
      </c>
      <c r="AD266" s="5"/>
      <c r="AE266" s="7" t="s">
        <v>50</v>
      </c>
    </row>
    <row r="267">
      <c r="A267" s="4">
        <v>-8570714.6343</v>
      </c>
      <c r="B267" s="4">
        <v>4710622.8473</v>
      </c>
      <c r="C267" s="4">
        <v>362134.0</v>
      </c>
      <c r="D267" s="5" t="s">
        <v>56</v>
      </c>
      <c r="E267" s="5" t="s">
        <v>1105</v>
      </c>
      <c r="F267" s="5" t="s">
        <v>1106</v>
      </c>
      <c r="G267" s="5" t="s">
        <v>33</v>
      </c>
      <c r="H267" s="5" t="s">
        <v>34</v>
      </c>
      <c r="I267" s="4">
        <v>1.0</v>
      </c>
      <c r="J267" s="4">
        <v>38.92280358</v>
      </c>
      <c r="K267" s="4">
        <v>-76.99206295</v>
      </c>
      <c r="L267" s="4">
        <v>0.0</v>
      </c>
      <c r="M267" s="4">
        <v>0.0</v>
      </c>
      <c r="N267" s="4">
        <v>0.0</v>
      </c>
      <c r="O267" s="4">
        <v>1.0</v>
      </c>
      <c r="P267" s="4">
        <v>0.0</v>
      </c>
      <c r="Q267" s="5"/>
      <c r="R267" s="4">
        <v>76233.0</v>
      </c>
      <c r="S267" s="4">
        <v>400690.5</v>
      </c>
      <c r="T267" s="4">
        <v>139438.16</v>
      </c>
      <c r="U267" s="5" t="s">
        <v>1107</v>
      </c>
      <c r="V267" s="5" t="s">
        <v>36</v>
      </c>
      <c r="W267" s="4">
        <v>0.0</v>
      </c>
      <c r="X267" s="4">
        <v>0.0</v>
      </c>
      <c r="Y267" s="4">
        <v>1.0</v>
      </c>
      <c r="Z267" s="4">
        <v>1.0</v>
      </c>
      <c r="AA267" s="4">
        <v>7.0</v>
      </c>
      <c r="AB267" s="4">
        <v>8.0</v>
      </c>
      <c r="AC267" s="5" t="s">
        <v>1108</v>
      </c>
      <c r="AD267" s="5"/>
      <c r="AE267" s="7" t="s">
        <v>50</v>
      </c>
    </row>
    <row r="268">
      <c r="A268" s="4">
        <v>-8573387.4903</v>
      </c>
      <c r="B268" s="4">
        <v>4717969.0596</v>
      </c>
      <c r="C268" s="4">
        <v>362135.0</v>
      </c>
      <c r="D268" s="5" t="s">
        <v>51</v>
      </c>
      <c r="E268" s="5" t="s">
        <v>1109</v>
      </c>
      <c r="F268" s="5" t="s">
        <v>1110</v>
      </c>
      <c r="G268" s="5" t="s">
        <v>33</v>
      </c>
      <c r="H268" s="5" t="s">
        <v>34</v>
      </c>
      <c r="I268" s="4">
        <v>3.0</v>
      </c>
      <c r="J268" s="4">
        <v>38.97418661</v>
      </c>
      <c r="K268" s="4">
        <v>-77.01608957</v>
      </c>
      <c r="L268" s="4">
        <v>0.0</v>
      </c>
      <c r="M268" s="4">
        <v>1.0</v>
      </c>
      <c r="N268" s="4">
        <v>2.0</v>
      </c>
      <c r="O268" s="4">
        <v>0.0</v>
      </c>
      <c r="P268" s="4">
        <v>0.0</v>
      </c>
      <c r="Q268" s="5"/>
      <c r="R268" s="4">
        <v>245147.0</v>
      </c>
      <c r="S268" s="4">
        <v>398609.39</v>
      </c>
      <c r="T268" s="4">
        <v>145135.55</v>
      </c>
      <c r="U268" s="5" t="s">
        <v>1111</v>
      </c>
      <c r="V268" s="5" t="s">
        <v>36</v>
      </c>
      <c r="W268" s="4">
        <v>0.0</v>
      </c>
      <c r="X268" s="4">
        <v>0.0</v>
      </c>
      <c r="Y268" s="4">
        <v>3.0</v>
      </c>
      <c r="Z268" s="4">
        <v>3.0</v>
      </c>
      <c r="AA268" s="4">
        <v>25.0</v>
      </c>
      <c r="AB268" s="4">
        <v>28.0</v>
      </c>
      <c r="AC268" s="5" t="s">
        <v>1112</v>
      </c>
      <c r="AD268" s="5"/>
      <c r="AE268" s="7" t="s">
        <v>50</v>
      </c>
    </row>
    <row r="269">
      <c r="A269" s="4">
        <v>-8574332.3482</v>
      </c>
      <c r="B269" s="4">
        <v>4709763.9898</v>
      </c>
      <c r="C269" s="4">
        <v>362138.0</v>
      </c>
      <c r="D269" s="5" t="s">
        <v>114</v>
      </c>
      <c r="E269" s="5" t="s">
        <v>1113</v>
      </c>
      <c r="F269" s="5" t="s">
        <v>1114</v>
      </c>
      <c r="G269" s="5" t="s">
        <v>33</v>
      </c>
      <c r="H269" s="5" t="s">
        <v>63</v>
      </c>
      <c r="I269" s="4">
        <v>9.0</v>
      </c>
      <c r="J269" s="4">
        <v>38.91681425</v>
      </c>
      <c r="K269" s="4">
        <v>-77.0245357</v>
      </c>
      <c r="L269" s="4">
        <v>0.0</v>
      </c>
      <c r="M269" s="4">
        <v>5.0</v>
      </c>
      <c r="N269" s="4">
        <v>0.0</v>
      </c>
      <c r="O269" s="4">
        <v>4.0</v>
      </c>
      <c r="P269" s="4">
        <v>0.0</v>
      </c>
      <c r="Q269" s="5"/>
      <c r="R269" s="4">
        <v>311496.0</v>
      </c>
      <c r="S269" s="4">
        <v>397872.18</v>
      </c>
      <c r="T269" s="4">
        <v>138772.07</v>
      </c>
      <c r="U269" s="5" t="s">
        <v>1115</v>
      </c>
      <c r="V269" s="5" t="s">
        <v>36</v>
      </c>
      <c r="W269" s="4">
        <v>0.0</v>
      </c>
      <c r="X269" s="4">
        <v>0.0</v>
      </c>
      <c r="Y269" s="4">
        <v>9.0</v>
      </c>
      <c r="Z269" s="4">
        <v>9.0</v>
      </c>
      <c r="AA269" s="4">
        <v>21.0</v>
      </c>
      <c r="AB269" s="4">
        <v>30.0</v>
      </c>
      <c r="AC269" s="5" t="s">
        <v>1116</v>
      </c>
      <c r="AD269" s="5"/>
      <c r="AE269" s="7" t="s">
        <v>50</v>
      </c>
    </row>
    <row r="270">
      <c r="A270" s="4">
        <v>-8575754.8395</v>
      </c>
      <c r="B270" s="4">
        <v>4708569.2599</v>
      </c>
      <c r="C270" s="4">
        <v>362140.0</v>
      </c>
      <c r="D270" s="5" t="s">
        <v>442</v>
      </c>
      <c r="E270" s="5" t="s">
        <v>1117</v>
      </c>
      <c r="F270" s="5" t="s">
        <v>1118</v>
      </c>
      <c r="G270" s="5" t="s">
        <v>33</v>
      </c>
      <c r="H270" s="5" t="s">
        <v>34</v>
      </c>
      <c r="I270" s="4">
        <v>8.0</v>
      </c>
      <c r="J270" s="4">
        <v>38.90846296</v>
      </c>
      <c r="K270" s="4">
        <v>-77.03731416</v>
      </c>
      <c r="L270" s="4">
        <v>0.0</v>
      </c>
      <c r="M270" s="4">
        <v>1.0</v>
      </c>
      <c r="N270" s="4">
        <v>7.0</v>
      </c>
      <c r="O270" s="4">
        <v>0.0</v>
      </c>
      <c r="P270" s="4">
        <v>0.0</v>
      </c>
      <c r="Q270" s="5"/>
      <c r="R270" s="4">
        <v>279074.0</v>
      </c>
      <c r="S270" s="4">
        <v>396763.61</v>
      </c>
      <c r="T270" s="4">
        <v>137845.42</v>
      </c>
      <c r="U270" s="5" t="s">
        <v>1119</v>
      </c>
      <c r="V270" s="5" t="s">
        <v>36</v>
      </c>
      <c r="W270" s="4">
        <v>0.0</v>
      </c>
      <c r="X270" s="4">
        <v>0.0</v>
      </c>
      <c r="Y270" s="4">
        <v>8.0</v>
      </c>
      <c r="Z270" s="4">
        <v>8.0</v>
      </c>
      <c r="AA270" s="4">
        <v>70.0</v>
      </c>
      <c r="AB270" s="4">
        <v>78.0</v>
      </c>
      <c r="AC270" s="5" t="s">
        <v>1076</v>
      </c>
      <c r="AD270" s="5"/>
      <c r="AE270" s="7" t="s">
        <v>50</v>
      </c>
    </row>
    <row r="271">
      <c r="A271" s="4">
        <v>-8564640.9114</v>
      </c>
      <c r="B271" s="4">
        <v>4706167.0945</v>
      </c>
      <c r="C271" s="4">
        <v>362142.0</v>
      </c>
      <c r="D271" s="5" t="s">
        <v>30</v>
      </c>
      <c r="E271" s="5" t="s">
        <v>1120</v>
      </c>
      <c r="F271" s="5" t="s">
        <v>1121</v>
      </c>
      <c r="G271" s="5" t="s">
        <v>33</v>
      </c>
      <c r="H271" s="5" t="s">
        <v>1122</v>
      </c>
      <c r="I271" s="4">
        <v>156.0</v>
      </c>
      <c r="J271" s="4">
        <v>38.89166925</v>
      </c>
      <c r="K271" s="4">
        <v>-76.93747607</v>
      </c>
      <c r="L271" s="4">
        <v>0.0</v>
      </c>
      <c r="M271" s="4">
        <v>0.0</v>
      </c>
      <c r="N271" s="4">
        <v>156.0</v>
      </c>
      <c r="O271" s="4">
        <v>0.0</v>
      </c>
      <c r="P271" s="4">
        <v>0.0</v>
      </c>
      <c r="Q271" s="5"/>
      <c r="R271" s="4">
        <v>334867.0</v>
      </c>
      <c r="S271" s="4">
        <v>405424.2</v>
      </c>
      <c r="T271" s="4">
        <v>135982.38</v>
      </c>
      <c r="U271" s="5" t="s">
        <v>1123</v>
      </c>
      <c r="V271" s="5" t="s">
        <v>36</v>
      </c>
      <c r="W271" s="4">
        <v>0.0</v>
      </c>
      <c r="X271" s="4">
        <v>0.0</v>
      </c>
      <c r="Y271" s="4">
        <v>156.0</v>
      </c>
      <c r="Z271" s="4">
        <v>156.0</v>
      </c>
      <c r="AA271" s="4">
        <v>0.0</v>
      </c>
      <c r="AB271" s="4">
        <v>156.0</v>
      </c>
      <c r="AC271" s="5" t="s">
        <v>659</v>
      </c>
      <c r="AD271" s="5"/>
      <c r="AE271" s="7" t="s">
        <v>50</v>
      </c>
    </row>
    <row r="272">
      <c r="A272" s="4">
        <v>-8574574.8216</v>
      </c>
      <c r="B272" s="4">
        <v>4709846.8208</v>
      </c>
      <c r="C272" s="4">
        <v>362143.0</v>
      </c>
      <c r="D272" s="5" t="s">
        <v>114</v>
      </c>
      <c r="E272" s="5" t="s">
        <v>1124</v>
      </c>
      <c r="F272" s="5" t="s">
        <v>1125</v>
      </c>
      <c r="G272" s="5" t="s">
        <v>33</v>
      </c>
      <c r="H272" s="5" t="s">
        <v>34</v>
      </c>
      <c r="I272" s="4">
        <v>3.0</v>
      </c>
      <c r="J272" s="4">
        <v>38.91743692</v>
      </c>
      <c r="K272" s="4">
        <v>-77.02666731</v>
      </c>
      <c r="L272" s="4">
        <v>0.0</v>
      </c>
      <c r="M272" s="4">
        <v>0.0</v>
      </c>
      <c r="N272" s="4">
        <v>3.0</v>
      </c>
      <c r="O272" s="4">
        <v>0.0</v>
      </c>
      <c r="P272" s="4">
        <v>0.0</v>
      </c>
      <c r="Q272" s="5"/>
      <c r="R272" s="4">
        <v>334983.0</v>
      </c>
      <c r="S272" s="4">
        <v>397683.3</v>
      </c>
      <c r="T272" s="4">
        <v>138836.39</v>
      </c>
      <c r="U272" s="5" t="s">
        <v>1126</v>
      </c>
      <c r="V272" s="5" t="s">
        <v>36</v>
      </c>
      <c r="W272" s="4">
        <v>0.0</v>
      </c>
      <c r="X272" s="4">
        <v>0.0</v>
      </c>
      <c r="Y272" s="4">
        <v>3.0</v>
      </c>
      <c r="Z272" s="4">
        <v>3.0</v>
      </c>
      <c r="AA272" s="4">
        <v>36.0</v>
      </c>
      <c r="AB272" s="4">
        <v>39.0</v>
      </c>
      <c r="AC272" s="5" t="s">
        <v>785</v>
      </c>
      <c r="AD272" s="5"/>
      <c r="AE272" s="7" t="s">
        <v>50</v>
      </c>
    </row>
    <row r="273">
      <c r="A273" s="4">
        <v>-8567845.9697</v>
      </c>
      <c r="B273" s="4">
        <v>4710739.7822</v>
      </c>
      <c r="C273" s="4">
        <v>362144.0</v>
      </c>
      <c r="D273" s="5" t="s">
        <v>56</v>
      </c>
      <c r="E273" s="5" t="s">
        <v>1127</v>
      </c>
      <c r="F273" s="5" t="s">
        <v>1128</v>
      </c>
      <c r="G273" s="5" t="s">
        <v>33</v>
      </c>
      <c r="H273" s="5" t="s">
        <v>34</v>
      </c>
      <c r="I273" s="4">
        <v>1.0</v>
      </c>
      <c r="J273" s="4">
        <v>38.92361281</v>
      </c>
      <c r="K273" s="4">
        <v>-76.96630635</v>
      </c>
      <c r="L273" s="4">
        <v>0.0</v>
      </c>
      <c r="M273" s="4">
        <v>0.0</v>
      </c>
      <c r="N273" s="4">
        <v>1.0</v>
      </c>
      <c r="O273" s="4">
        <v>0.0</v>
      </c>
      <c r="P273" s="4">
        <v>0.0</v>
      </c>
      <c r="Q273" s="5"/>
      <c r="R273" s="4">
        <v>45938.0</v>
      </c>
      <c r="S273" s="4">
        <v>402925.11</v>
      </c>
      <c r="T273" s="4">
        <v>139529.39</v>
      </c>
      <c r="U273" s="5" t="s">
        <v>1129</v>
      </c>
      <c r="V273" s="5" t="s">
        <v>36</v>
      </c>
      <c r="W273" s="4">
        <v>0.0</v>
      </c>
      <c r="X273" s="4">
        <v>0.0</v>
      </c>
      <c r="Y273" s="4">
        <v>1.0</v>
      </c>
      <c r="Z273" s="4">
        <v>1.0</v>
      </c>
      <c r="AA273" s="4">
        <v>12.0</v>
      </c>
      <c r="AB273" s="4">
        <v>13.0</v>
      </c>
      <c r="AC273" s="5" t="s">
        <v>1130</v>
      </c>
      <c r="AD273" s="5"/>
      <c r="AE273" s="7" t="s">
        <v>50</v>
      </c>
    </row>
    <row r="274">
      <c r="A274" s="4">
        <v>-8575234.6703</v>
      </c>
      <c r="B274" s="4">
        <v>4717780.9276</v>
      </c>
      <c r="C274" s="4">
        <v>362146.0</v>
      </c>
      <c r="D274" s="5" t="s">
        <v>51</v>
      </c>
      <c r="E274" s="5" t="s">
        <v>1131</v>
      </c>
      <c r="F274" s="5" t="s">
        <v>1132</v>
      </c>
      <c r="G274" s="5" t="s">
        <v>33</v>
      </c>
      <c r="H274" s="5" t="s">
        <v>501</v>
      </c>
      <c r="I274" s="4">
        <v>40.0</v>
      </c>
      <c r="J274" s="4">
        <v>38.97275626</v>
      </c>
      <c r="K274" s="4">
        <v>-77.03265498</v>
      </c>
      <c r="L274" s="4">
        <v>40.0</v>
      </c>
      <c r="M274" s="4">
        <v>0.0</v>
      </c>
      <c r="N274" s="4">
        <v>0.0</v>
      </c>
      <c r="O274" s="4">
        <v>0.0</v>
      </c>
      <c r="P274" s="4">
        <v>0.0</v>
      </c>
      <c r="Q274" s="5"/>
      <c r="R274" s="4">
        <v>319869.0</v>
      </c>
      <c r="S274" s="4">
        <v>397171.45</v>
      </c>
      <c r="T274" s="4">
        <v>144990.08</v>
      </c>
      <c r="U274" s="5" t="s">
        <v>1133</v>
      </c>
      <c r="V274" s="5" t="s">
        <v>36</v>
      </c>
      <c r="W274" s="4">
        <v>0.0</v>
      </c>
      <c r="X274" s="4">
        <v>0.0</v>
      </c>
      <c r="Y274" s="4">
        <v>40.0</v>
      </c>
      <c r="Z274" s="4">
        <v>40.0</v>
      </c>
      <c r="AA274" s="4">
        <v>0.0</v>
      </c>
      <c r="AB274" s="4">
        <v>40.0</v>
      </c>
      <c r="AC274" s="5" t="s">
        <v>1134</v>
      </c>
      <c r="AD274" s="5"/>
      <c r="AE274" s="7" t="s">
        <v>50</v>
      </c>
    </row>
    <row r="275">
      <c r="A275" s="4">
        <v>-8562238.7579</v>
      </c>
      <c r="B275" s="4">
        <v>4706538.5304</v>
      </c>
      <c r="C275" s="4">
        <v>362148.0</v>
      </c>
      <c r="D275" s="5" t="s">
        <v>30</v>
      </c>
      <c r="E275" s="5" t="s">
        <v>1135</v>
      </c>
      <c r="F275" s="5" t="s">
        <v>1136</v>
      </c>
      <c r="G275" s="5" t="s">
        <v>310</v>
      </c>
      <c r="H275" s="5" t="s">
        <v>34</v>
      </c>
      <c r="I275" s="4">
        <v>30.0</v>
      </c>
      <c r="J275" s="4">
        <v>38.89427946</v>
      </c>
      <c r="K275" s="4">
        <v>-76.91589773</v>
      </c>
      <c r="L275" s="4">
        <v>3.0</v>
      </c>
      <c r="M275" s="4">
        <v>7.0</v>
      </c>
      <c r="N275" s="4">
        <v>0.0</v>
      </c>
      <c r="O275" s="4">
        <v>20.0</v>
      </c>
      <c r="P275" s="4">
        <v>0.0</v>
      </c>
      <c r="Q275" s="5"/>
      <c r="R275" s="4">
        <v>6021.0</v>
      </c>
      <c r="S275" s="4">
        <v>407295.99</v>
      </c>
      <c r="T275" s="4">
        <v>136272.17</v>
      </c>
      <c r="U275" s="5" t="s">
        <v>1137</v>
      </c>
      <c r="V275" s="5" t="s">
        <v>36</v>
      </c>
      <c r="W275" s="4">
        <v>0.0</v>
      </c>
      <c r="X275" s="4">
        <v>0.0</v>
      </c>
      <c r="Y275" s="4">
        <v>30.0</v>
      </c>
      <c r="Z275" s="4">
        <v>30.0</v>
      </c>
      <c r="AA275" s="4">
        <v>0.0</v>
      </c>
      <c r="AB275" s="4">
        <v>30.0</v>
      </c>
      <c r="AC275" s="5"/>
      <c r="AD275" s="5"/>
      <c r="AE275" s="7" t="s">
        <v>1138</v>
      </c>
    </row>
    <row r="276">
      <c r="A276" s="4">
        <v>-8568188.3752</v>
      </c>
      <c r="B276" s="4">
        <v>4701050.0879</v>
      </c>
      <c r="C276" s="4">
        <v>362149.0</v>
      </c>
      <c r="D276" s="5" t="s">
        <v>45</v>
      </c>
      <c r="E276" s="5" t="s">
        <v>1139</v>
      </c>
      <c r="F276" s="5" t="s">
        <v>1140</v>
      </c>
      <c r="G276" s="5" t="s">
        <v>33</v>
      </c>
      <c r="H276" s="5" t="s">
        <v>81</v>
      </c>
      <c r="I276" s="4">
        <v>86.0</v>
      </c>
      <c r="J276" s="4">
        <v>38.85586545</v>
      </c>
      <c r="K276" s="4">
        <v>-76.9696307</v>
      </c>
      <c r="L276" s="4">
        <v>18.0</v>
      </c>
      <c r="M276" s="4">
        <v>59.0</v>
      </c>
      <c r="N276" s="4">
        <v>9.0</v>
      </c>
      <c r="O276" s="4">
        <v>0.0</v>
      </c>
      <c r="P276" s="4">
        <v>0.0</v>
      </c>
      <c r="Q276" s="5"/>
      <c r="R276" s="4">
        <v>46814.0</v>
      </c>
      <c r="S276" s="4">
        <v>402660.91</v>
      </c>
      <c r="T276" s="4">
        <v>132008.39</v>
      </c>
      <c r="U276" s="5" t="s">
        <v>1141</v>
      </c>
      <c r="V276" s="5" t="s">
        <v>36</v>
      </c>
      <c r="W276" s="4">
        <v>0.0</v>
      </c>
      <c r="X276" s="4">
        <v>0.0</v>
      </c>
      <c r="Y276" s="4">
        <v>86.0</v>
      </c>
      <c r="Z276" s="4">
        <v>86.0</v>
      </c>
      <c r="AA276" s="4">
        <v>0.0</v>
      </c>
      <c r="AB276" s="4">
        <v>86.0</v>
      </c>
      <c r="AC276" s="5" t="s">
        <v>1142</v>
      </c>
      <c r="AD276" s="5"/>
      <c r="AE276" s="7" t="s">
        <v>50</v>
      </c>
    </row>
    <row r="277">
      <c r="A277" s="4">
        <v>-8564325.2056</v>
      </c>
      <c r="B277" s="4">
        <v>4707799.6783</v>
      </c>
      <c r="C277" s="4">
        <v>362150.0</v>
      </c>
      <c r="D277" s="5" t="s">
        <v>30</v>
      </c>
      <c r="E277" s="5" t="s">
        <v>1143</v>
      </c>
      <c r="F277" s="5" t="s">
        <v>1144</v>
      </c>
      <c r="G277" s="5" t="s">
        <v>310</v>
      </c>
      <c r="H277" s="5" t="s">
        <v>42</v>
      </c>
      <c r="I277" s="4">
        <v>28.0</v>
      </c>
      <c r="J277" s="4">
        <v>38.90308352</v>
      </c>
      <c r="K277" s="4">
        <v>-76.93464004</v>
      </c>
      <c r="L277" s="4">
        <v>0.0</v>
      </c>
      <c r="M277" s="4">
        <v>2.0</v>
      </c>
      <c r="N277" s="4">
        <v>2.0</v>
      </c>
      <c r="O277" s="4">
        <v>24.0</v>
      </c>
      <c r="P277" s="4">
        <v>0.0</v>
      </c>
      <c r="Q277" s="5" t="s">
        <v>1145</v>
      </c>
      <c r="R277" s="4">
        <v>311494.0</v>
      </c>
      <c r="S277" s="4">
        <v>405669.33</v>
      </c>
      <c r="T277" s="4">
        <v>137249.59</v>
      </c>
      <c r="U277" s="5" t="s">
        <v>1146</v>
      </c>
      <c r="V277" s="5" t="s">
        <v>36</v>
      </c>
      <c r="W277" s="4">
        <v>0.0</v>
      </c>
      <c r="X277" s="4">
        <v>0.0</v>
      </c>
      <c r="Y277" s="4">
        <v>28.0</v>
      </c>
      <c r="Z277" s="4">
        <v>28.0</v>
      </c>
      <c r="AA277" s="4">
        <v>0.0</v>
      </c>
      <c r="AB277" s="4">
        <v>28.0</v>
      </c>
      <c r="AC277" s="5"/>
      <c r="AD277" s="5"/>
      <c r="AE277" s="7" t="s">
        <v>1147</v>
      </c>
    </row>
    <row r="278">
      <c r="A278" s="4">
        <v>-8563738.4159</v>
      </c>
      <c r="B278" s="4">
        <v>4707276.8258</v>
      </c>
      <c r="C278" s="4">
        <v>362151.0</v>
      </c>
      <c r="D278" s="5" t="s">
        <v>30</v>
      </c>
      <c r="E278" s="5" t="s">
        <v>1148</v>
      </c>
      <c r="F278" s="5" t="s">
        <v>1149</v>
      </c>
      <c r="G278" s="5" t="s">
        <v>33</v>
      </c>
      <c r="H278" s="5" t="s">
        <v>81</v>
      </c>
      <c r="I278" s="4">
        <v>76.0</v>
      </c>
      <c r="J278" s="4">
        <v>38.8993459</v>
      </c>
      <c r="K278" s="4">
        <v>-76.92927725</v>
      </c>
      <c r="L278" s="4">
        <v>16.0</v>
      </c>
      <c r="M278" s="4">
        <v>60.0</v>
      </c>
      <c r="N278" s="4">
        <v>0.0</v>
      </c>
      <c r="O278" s="4">
        <v>0.0</v>
      </c>
      <c r="P278" s="4">
        <v>0.0</v>
      </c>
      <c r="Q278" s="5"/>
      <c r="R278" s="4">
        <v>78489.0</v>
      </c>
      <c r="S278" s="4">
        <v>406126.87</v>
      </c>
      <c r="T278" s="4">
        <v>136844.17</v>
      </c>
      <c r="U278" s="5" t="s">
        <v>1150</v>
      </c>
      <c r="V278" s="5" t="s">
        <v>36</v>
      </c>
      <c r="W278" s="4">
        <v>0.0</v>
      </c>
      <c r="X278" s="4">
        <v>0.0</v>
      </c>
      <c r="Y278" s="4">
        <v>76.0</v>
      </c>
      <c r="Z278" s="4">
        <v>76.0</v>
      </c>
      <c r="AA278" s="4">
        <v>0.0</v>
      </c>
      <c r="AB278" s="4">
        <v>76.0</v>
      </c>
      <c r="AC278" s="5" t="s">
        <v>1151</v>
      </c>
      <c r="AD278" s="5"/>
      <c r="AE278" s="7" t="s">
        <v>50</v>
      </c>
    </row>
    <row r="279">
      <c r="A279" s="4">
        <v>-8573718.1421</v>
      </c>
      <c r="B279" s="4">
        <v>4715475.1585</v>
      </c>
      <c r="C279" s="4">
        <v>362156.0</v>
      </c>
      <c r="D279" s="5" t="s">
        <v>51</v>
      </c>
      <c r="E279" s="5" t="s">
        <v>1152</v>
      </c>
      <c r="F279" s="5" t="s">
        <v>1153</v>
      </c>
      <c r="G279" s="5" t="s">
        <v>33</v>
      </c>
      <c r="H279" s="5" t="s">
        <v>34</v>
      </c>
      <c r="I279" s="4">
        <v>4.0</v>
      </c>
      <c r="J279" s="4">
        <v>38.95666512</v>
      </c>
      <c r="K279" s="4">
        <v>-77.01895634</v>
      </c>
      <c r="L279" s="4">
        <v>0.0</v>
      </c>
      <c r="M279" s="4">
        <v>1.0</v>
      </c>
      <c r="N279" s="4">
        <v>3.0</v>
      </c>
      <c r="O279" s="4">
        <v>0.0</v>
      </c>
      <c r="P279" s="4">
        <v>0.0</v>
      </c>
      <c r="Q279" s="5"/>
      <c r="R279" s="4">
        <v>248771.0</v>
      </c>
      <c r="S279" s="4">
        <v>398351.6</v>
      </c>
      <c r="T279" s="4">
        <v>143201.93</v>
      </c>
      <c r="U279" s="5" t="s">
        <v>1154</v>
      </c>
      <c r="V279" s="5" t="s">
        <v>36</v>
      </c>
      <c r="W279" s="4">
        <v>0.0</v>
      </c>
      <c r="X279" s="4">
        <v>0.0</v>
      </c>
      <c r="Y279" s="4">
        <v>4.0</v>
      </c>
      <c r="Z279" s="4">
        <v>4.0</v>
      </c>
      <c r="AA279" s="4">
        <v>33.0</v>
      </c>
      <c r="AB279" s="4">
        <v>37.0</v>
      </c>
      <c r="AC279" s="5" t="s">
        <v>1155</v>
      </c>
      <c r="AD279" s="5"/>
      <c r="AE279" s="7" t="s">
        <v>50</v>
      </c>
    </row>
    <row r="280">
      <c r="A280" s="4">
        <v>-8568811.8935</v>
      </c>
      <c r="B280" s="4">
        <v>4707685.0975</v>
      </c>
      <c r="C280" s="4">
        <v>362157.0</v>
      </c>
      <c r="D280" s="5" t="s">
        <v>56</v>
      </c>
      <c r="E280" s="5" t="s">
        <v>1156</v>
      </c>
      <c r="F280" s="5" t="s">
        <v>1157</v>
      </c>
      <c r="G280" s="5" t="s">
        <v>33</v>
      </c>
      <c r="H280" s="5" t="s">
        <v>34</v>
      </c>
      <c r="I280" s="4">
        <v>1.0</v>
      </c>
      <c r="J280" s="4">
        <v>38.90229037</v>
      </c>
      <c r="K280" s="4">
        <v>-76.97492007</v>
      </c>
      <c r="L280" s="4">
        <v>0.0</v>
      </c>
      <c r="M280" s="4">
        <v>0.0</v>
      </c>
      <c r="N280" s="4">
        <v>1.0</v>
      </c>
      <c r="O280" s="4">
        <v>0.0</v>
      </c>
      <c r="P280" s="4">
        <v>0.0</v>
      </c>
      <c r="Q280" s="5"/>
      <c r="R280" s="4">
        <v>53151.0</v>
      </c>
      <c r="S280" s="4">
        <v>402173.33</v>
      </c>
      <c r="T280" s="4">
        <v>137158.94</v>
      </c>
      <c r="U280" s="5" t="s">
        <v>1158</v>
      </c>
      <c r="V280" s="5" t="s">
        <v>36</v>
      </c>
      <c r="W280" s="4">
        <v>0.0</v>
      </c>
      <c r="X280" s="4">
        <v>0.0</v>
      </c>
      <c r="Y280" s="4">
        <v>1.0</v>
      </c>
      <c r="Z280" s="4">
        <v>1.0</v>
      </c>
      <c r="AA280" s="4">
        <v>10.0</v>
      </c>
      <c r="AB280" s="4">
        <v>11.0</v>
      </c>
      <c r="AC280" s="5" t="s">
        <v>1159</v>
      </c>
      <c r="AD280" s="5"/>
      <c r="AE280" s="7" t="s">
        <v>50</v>
      </c>
    </row>
    <row r="281">
      <c r="A281" s="4">
        <v>-8572809.9317</v>
      </c>
      <c r="B281" s="4">
        <v>4715421.8037</v>
      </c>
      <c r="C281" s="4">
        <v>362158.0</v>
      </c>
      <c r="D281" s="5" t="s">
        <v>51</v>
      </c>
      <c r="E281" s="5" t="s">
        <v>1160</v>
      </c>
      <c r="F281" s="5" t="s">
        <v>1161</v>
      </c>
      <c r="G281" s="5" t="s">
        <v>33</v>
      </c>
      <c r="H281" s="5" t="s">
        <v>34</v>
      </c>
      <c r="I281" s="4">
        <v>6.0</v>
      </c>
      <c r="J281" s="4">
        <v>38.95634773</v>
      </c>
      <c r="K281" s="4">
        <v>-77.0108596</v>
      </c>
      <c r="L281" s="4">
        <v>0.0</v>
      </c>
      <c r="M281" s="4">
        <v>1.0</v>
      </c>
      <c r="N281" s="4">
        <v>0.0</v>
      </c>
      <c r="O281" s="4">
        <v>5.0</v>
      </c>
      <c r="P281" s="4">
        <v>0.0</v>
      </c>
      <c r="Q281" s="5"/>
      <c r="R281" s="4">
        <v>245912.0</v>
      </c>
      <c r="S281" s="4">
        <v>399058.74</v>
      </c>
      <c r="T281" s="4">
        <v>143160.44</v>
      </c>
      <c r="U281" s="5" t="s">
        <v>1162</v>
      </c>
      <c r="V281" s="5" t="s">
        <v>36</v>
      </c>
      <c r="W281" s="4">
        <v>0.0</v>
      </c>
      <c r="X281" s="4">
        <v>0.0</v>
      </c>
      <c r="Y281" s="4">
        <v>6.0</v>
      </c>
      <c r="Z281" s="4">
        <v>6.0</v>
      </c>
      <c r="AA281" s="4">
        <v>44.0</v>
      </c>
      <c r="AB281" s="4">
        <v>50.0</v>
      </c>
      <c r="AC281" s="5" t="s">
        <v>1163</v>
      </c>
      <c r="AD281" s="5"/>
      <c r="AE281" s="7" t="s">
        <v>50</v>
      </c>
    </row>
    <row r="282">
      <c r="A282" s="4">
        <v>-8563562.55</v>
      </c>
      <c r="B282" s="4">
        <v>4707214.2193</v>
      </c>
      <c r="C282" s="4">
        <v>362165.0</v>
      </c>
      <c r="D282" s="5" t="s">
        <v>30</v>
      </c>
      <c r="E282" s="5" t="s">
        <v>1164</v>
      </c>
      <c r="F282" s="5" t="s">
        <v>1165</v>
      </c>
      <c r="G282" s="5" t="s">
        <v>310</v>
      </c>
      <c r="H282" s="5" t="s">
        <v>34</v>
      </c>
      <c r="I282" s="4">
        <v>6.0</v>
      </c>
      <c r="J282" s="4">
        <v>38.89899026</v>
      </c>
      <c r="K282" s="4">
        <v>-76.92778899</v>
      </c>
      <c r="L282" s="4">
        <v>0.0</v>
      </c>
      <c r="M282" s="4">
        <v>1.0</v>
      </c>
      <c r="N282" s="4">
        <v>5.0</v>
      </c>
      <c r="O282" s="4">
        <v>0.0</v>
      </c>
      <c r="P282" s="4">
        <v>0.0</v>
      </c>
      <c r="Q282" s="5"/>
      <c r="R282" s="4">
        <v>336089.0</v>
      </c>
      <c r="S282" s="4">
        <v>406263.95</v>
      </c>
      <c r="T282" s="4">
        <v>136795.69</v>
      </c>
      <c r="U282" s="5" t="s">
        <v>1166</v>
      </c>
      <c r="V282" s="5" t="s">
        <v>36</v>
      </c>
      <c r="W282" s="4">
        <v>0.0</v>
      </c>
      <c r="X282" s="4">
        <v>0.0</v>
      </c>
      <c r="Y282" s="4">
        <v>6.0</v>
      </c>
      <c r="Z282" s="4">
        <v>6.0</v>
      </c>
      <c r="AA282" s="4">
        <v>40.0</v>
      </c>
      <c r="AB282" s="4">
        <v>46.0</v>
      </c>
      <c r="AC282" s="5"/>
      <c r="AD282" s="5"/>
      <c r="AE282" s="7" t="s">
        <v>1138</v>
      </c>
    </row>
    <row r="283">
      <c r="A283" s="4">
        <v>-8573388.4053</v>
      </c>
      <c r="B283" s="4">
        <v>4717912.2274</v>
      </c>
      <c r="C283" s="4">
        <v>362170.0</v>
      </c>
      <c r="D283" s="5" t="s">
        <v>51</v>
      </c>
      <c r="E283" s="5" t="s">
        <v>549</v>
      </c>
      <c r="F283" s="5" t="s">
        <v>1167</v>
      </c>
      <c r="G283" s="5" t="s">
        <v>33</v>
      </c>
      <c r="H283" s="5" t="s">
        <v>34</v>
      </c>
      <c r="I283" s="4">
        <v>37.0</v>
      </c>
      <c r="J283" s="4">
        <v>38.97374251</v>
      </c>
      <c r="K283" s="4">
        <v>-77.01605612</v>
      </c>
      <c r="L283" s="4">
        <v>0.0</v>
      </c>
      <c r="M283" s="4">
        <v>37.0</v>
      </c>
      <c r="N283" s="4">
        <v>0.0</v>
      </c>
      <c r="O283" s="4">
        <v>0.0</v>
      </c>
      <c r="P283" s="4">
        <v>0.0</v>
      </c>
      <c r="Q283" s="5"/>
      <c r="R283" s="4">
        <v>300685.0</v>
      </c>
      <c r="S283" s="4">
        <v>398608.67</v>
      </c>
      <c r="T283" s="4">
        <v>145091.49</v>
      </c>
      <c r="U283" s="5" t="s">
        <v>551</v>
      </c>
      <c r="V283" s="5" t="s">
        <v>36</v>
      </c>
      <c r="W283" s="4">
        <v>0.0</v>
      </c>
      <c r="X283" s="4">
        <v>0.0</v>
      </c>
      <c r="Y283" s="4">
        <v>37.0</v>
      </c>
      <c r="Z283" s="4">
        <v>37.0</v>
      </c>
      <c r="AA283" s="4">
        <v>0.0</v>
      </c>
      <c r="AB283" s="4">
        <v>37.0</v>
      </c>
      <c r="AC283" s="5" t="s">
        <v>552</v>
      </c>
      <c r="AD283" s="5"/>
      <c r="AE283" s="7" t="s">
        <v>50</v>
      </c>
    </row>
    <row r="284">
      <c r="A284" s="4">
        <v>-8580327.6501</v>
      </c>
      <c r="B284" s="4">
        <v>4713165.3927</v>
      </c>
      <c r="C284" s="4">
        <v>362172.0</v>
      </c>
      <c r="D284" s="5" t="s">
        <v>341</v>
      </c>
      <c r="E284" s="5" t="s">
        <v>1168</v>
      </c>
      <c r="F284" s="5" t="s">
        <v>1169</v>
      </c>
      <c r="G284" s="5" t="s">
        <v>33</v>
      </c>
      <c r="H284" s="5" t="s">
        <v>34</v>
      </c>
      <c r="I284" s="4">
        <v>37.0</v>
      </c>
      <c r="J284" s="4">
        <v>38.94058377</v>
      </c>
      <c r="K284" s="4">
        <v>-77.0783924</v>
      </c>
      <c r="L284" s="4">
        <v>0.0</v>
      </c>
      <c r="M284" s="4">
        <v>3.0</v>
      </c>
      <c r="N284" s="4">
        <v>34.0</v>
      </c>
      <c r="O284" s="4">
        <v>0.0</v>
      </c>
      <c r="P284" s="4">
        <v>0.0</v>
      </c>
      <c r="Q284" s="5"/>
      <c r="R284" s="4">
        <v>331637.0</v>
      </c>
      <c r="S284" s="4">
        <v>393203.81</v>
      </c>
      <c r="T284" s="4">
        <v>141413.36</v>
      </c>
      <c r="U284" s="5" t="s">
        <v>1170</v>
      </c>
      <c r="V284" s="5" t="s">
        <v>36</v>
      </c>
      <c r="W284" s="4">
        <v>0.0</v>
      </c>
      <c r="X284" s="4">
        <v>0.0</v>
      </c>
      <c r="Y284" s="4">
        <v>37.0</v>
      </c>
      <c r="Z284" s="4">
        <v>37.0</v>
      </c>
      <c r="AA284" s="4">
        <v>410.0</v>
      </c>
      <c r="AB284" s="4">
        <v>447.0</v>
      </c>
      <c r="AC284" s="5" t="s">
        <v>1171</v>
      </c>
      <c r="AD284" s="5"/>
      <c r="AE284" s="7" t="s">
        <v>50</v>
      </c>
    </row>
    <row r="285">
      <c r="A285" s="4">
        <v>-8580200.6005</v>
      </c>
      <c r="B285" s="4">
        <v>4713325.4894</v>
      </c>
      <c r="C285" s="4">
        <v>362173.0</v>
      </c>
      <c r="D285" s="5" t="s">
        <v>341</v>
      </c>
      <c r="E285" s="5" t="s">
        <v>1172</v>
      </c>
      <c r="F285" s="5" t="s">
        <v>1173</v>
      </c>
      <c r="G285" s="5" t="s">
        <v>33</v>
      </c>
      <c r="H285" s="5" t="s">
        <v>34</v>
      </c>
      <c r="I285" s="4">
        <v>65.0</v>
      </c>
      <c r="J285" s="4">
        <v>38.94170237</v>
      </c>
      <c r="K285" s="4">
        <v>-77.07725109</v>
      </c>
      <c r="L285" s="4">
        <v>0.0</v>
      </c>
      <c r="M285" s="4">
        <v>7.0</v>
      </c>
      <c r="N285" s="4">
        <v>58.0</v>
      </c>
      <c r="O285" s="4">
        <v>0.0</v>
      </c>
      <c r="P285" s="4">
        <v>0.0</v>
      </c>
      <c r="Q285" s="5"/>
      <c r="R285" s="4">
        <v>222230.0</v>
      </c>
      <c r="S285" s="4">
        <v>393302.86</v>
      </c>
      <c r="T285" s="4">
        <v>141537.45</v>
      </c>
      <c r="U285" s="5" t="s">
        <v>1174</v>
      </c>
      <c r="V285" s="5" t="s">
        <v>36</v>
      </c>
      <c r="W285" s="4">
        <v>0.0</v>
      </c>
      <c r="X285" s="4">
        <v>0.0</v>
      </c>
      <c r="Y285" s="4">
        <v>65.0</v>
      </c>
      <c r="Z285" s="4">
        <v>65.0</v>
      </c>
      <c r="AA285" s="4">
        <v>624.0</v>
      </c>
      <c r="AB285" s="4">
        <v>689.0</v>
      </c>
      <c r="AC285" s="5" t="s">
        <v>235</v>
      </c>
      <c r="AD285" s="5"/>
      <c r="AE285" s="7" t="s">
        <v>50</v>
      </c>
    </row>
    <row r="286">
      <c r="A286" s="4">
        <v>-8578074.3548</v>
      </c>
      <c r="B286" s="4">
        <v>4712268.909</v>
      </c>
      <c r="C286" s="4">
        <v>362174.0</v>
      </c>
      <c r="D286" s="5" t="s">
        <v>341</v>
      </c>
      <c r="E286" s="5" t="s">
        <v>1175</v>
      </c>
      <c r="F286" s="5" t="s">
        <v>1176</v>
      </c>
      <c r="G286" s="5" t="s">
        <v>33</v>
      </c>
      <c r="H286" s="5" t="s">
        <v>34</v>
      </c>
      <c r="I286" s="4">
        <v>3.0</v>
      </c>
      <c r="J286" s="4">
        <v>38.93447055</v>
      </c>
      <c r="K286" s="4">
        <v>-77.05821888</v>
      </c>
      <c r="L286" s="4">
        <v>0.0</v>
      </c>
      <c r="M286" s="4">
        <v>0.0</v>
      </c>
      <c r="N286" s="4">
        <v>3.0</v>
      </c>
      <c r="O286" s="4">
        <v>0.0</v>
      </c>
      <c r="P286" s="4">
        <v>0.0</v>
      </c>
      <c r="Q286" s="5"/>
      <c r="R286" s="4">
        <v>331715.0</v>
      </c>
      <c r="S286" s="4">
        <v>394958.21</v>
      </c>
      <c r="T286" s="4">
        <v>140716.68</v>
      </c>
      <c r="U286" s="5" t="s">
        <v>1177</v>
      </c>
      <c r="V286" s="5" t="s">
        <v>36</v>
      </c>
      <c r="W286" s="4">
        <v>0.0</v>
      </c>
      <c r="X286" s="4">
        <v>0.0</v>
      </c>
      <c r="Y286" s="4">
        <v>3.0</v>
      </c>
      <c r="Z286" s="4">
        <v>3.0</v>
      </c>
      <c r="AA286" s="4">
        <v>29.0</v>
      </c>
      <c r="AB286" s="4">
        <v>32.0</v>
      </c>
      <c r="AC286" s="5" t="s">
        <v>1178</v>
      </c>
      <c r="AD286" s="5"/>
      <c r="AE286" s="7" t="s">
        <v>50</v>
      </c>
    </row>
    <row r="287">
      <c r="A287" s="4">
        <v>-8578524.1987</v>
      </c>
      <c r="B287" s="4">
        <v>4713469.7722</v>
      </c>
      <c r="C287" s="4">
        <v>362175.0</v>
      </c>
      <c r="D287" s="5" t="s">
        <v>341</v>
      </c>
      <c r="E287" s="5" t="s">
        <v>1179</v>
      </c>
      <c r="F287" s="5" t="s">
        <v>1180</v>
      </c>
      <c r="G287" s="5" t="s">
        <v>33</v>
      </c>
      <c r="H287" s="5" t="s">
        <v>34</v>
      </c>
      <c r="I287" s="4">
        <v>2.0</v>
      </c>
      <c r="J287" s="4">
        <v>38.94265626</v>
      </c>
      <c r="K287" s="4">
        <v>-77.06225062</v>
      </c>
      <c r="L287" s="4">
        <v>0.0</v>
      </c>
      <c r="M287" s="4">
        <v>0.0</v>
      </c>
      <c r="N287" s="4">
        <v>2.0</v>
      </c>
      <c r="O287" s="4">
        <v>0.0</v>
      </c>
      <c r="P287" s="4">
        <v>0.0</v>
      </c>
      <c r="Q287" s="5"/>
      <c r="R287" s="4">
        <v>219406.0</v>
      </c>
      <c r="S287" s="4">
        <v>394608.48</v>
      </c>
      <c r="T287" s="4">
        <v>141648.36</v>
      </c>
      <c r="U287" s="5" t="s">
        <v>1181</v>
      </c>
      <c r="V287" s="5" t="s">
        <v>36</v>
      </c>
      <c r="W287" s="4">
        <v>0.0</v>
      </c>
      <c r="X287" s="4">
        <v>0.0</v>
      </c>
      <c r="Y287" s="4">
        <v>2.0</v>
      </c>
      <c r="Z287" s="4">
        <v>2.0</v>
      </c>
      <c r="AA287" s="4">
        <v>23.0</v>
      </c>
      <c r="AB287" s="4">
        <v>25.0</v>
      </c>
      <c r="AC287" s="5" t="s">
        <v>268</v>
      </c>
      <c r="AD287" s="5"/>
      <c r="AE287" s="7" t="s">
        <v>50</v>
      </c>
    </row>
    <row r="288">
      <c r="A288" s="4">
        <v>-8569539.1845</v>
      </c>
      <c r="B288" s="4">
        <v>4707233.424</v>
      </c>
      <c r="C288" s="4">
        <v>362176.0</v>
      </c>
      <c r="D288" s="5" t="s">
        <v>30</v>
      </c>
      <c r="E288" s="5" t="s">
        <v>1182</v>
      </c>
      <c r="F288" s="5" t="s">
        <v>1183</v>
      </c>
      <c r="G288" s="5" t="s">
        <v>33</v>
      </c>
      <c r="H288" s="5" t="s">
        <v>34</v>
      </c>
      <c r="I288" s="4">
        <v>1.0</v>
      </c>
      <c r="J288" s="4">
        <v>38.89911748</v>
      </c>
      <c r="K288" s="4">
        <v>-76.98149621</v>
      </c>
      <c r="L288" s="4">
        <v>0.0</v>
      </c>
      <c r="M288" s="4">
        <v>0.0</v>
      </c>
      <c r="N288" s="4">
        <v>1.0</v>
      </c>
      <c r="O288" s="4">
        <v>0.0</v>
      </c>
      <c r="P288" s="4">
        <v>0.0</v>
      </c>
      <c r="Q288" s="5"/>
      <c r="R288" s="4">
        <v>77702.0</v>
      </c>
      <c r="S288" s="4">
        <v>401606.69</v>
      </c>
      <c r="T288" s="4">
        <v>136808.28</v>
      </c>
      <c r="U288" s="5" t="s">
        <v>1184</v>
      </c>
      <c r="V288" s="5" t="s">
        <v>36</v>
      </c>
      <c r="W288" s="4">
        <v>0.0</v>
      </c>
      <c r="X288" s="4">
        <v>0.0</v>
      </c>
      <c r="Y288" s="4">
        <v>1.0</v>
      </c>
      <c r="Z288" s="4">
        <v>1.0</v>
      </c>
      <c r="AA288" s="4">
        <v>7.0</v>
      </c>
      <c r="AB288" s="4">
        <v>8.0</v>
      </c>
      <c r="AC288" s="5" t="s">
        <v>1185</v>
      </c>
      <c r="AD288" s="5"/>
      <c r="AE288" s="7" t="s">
        <v>50</v>
      </c>
    </row>
    <row r="289">
      <c r="A289" s="4">
        <v>-8572876.3963</v>
      </c>
      <c r="B289" s="4">
        <v>4703108.1547</v>
      </c>
      <c r="C289" s="4">
        <v>362183.0</v>
      </c>
      <c r="D289" s="5" t="s">
        <v>39</v>
      </c>
      <c r="E289" s="5" t="s">
        <v>1186</v>
      </c>
      <c r="F289" s="5" t="s">
        <v>1187</v>
      </c>
      <c r="G289" s="5" t="s">
        <v>33</v>
      </c>
      <c r="H289" s="5" t="s">
        <v>34</v>
      </c>
      <c r="I289" s="4">
        <v>41.0</v>
      </c>
      <c r="J289" s="4">
        <v>38.87018191</v>
      </c>
      <c r="K289" s="4">
        <v>-77.01182967</v>
      </c>
      <c r="L289" s="4">
        <v>0.0</v>
      </c>
      <c r="M289" s="4">
        <v>0.0</v>
      </c>
      <c r="N289" s="4">
        <v>41.0</v>
      </c>
      <c r="O289" s="4">
        <v>0.0</v>
      </c>
      <c r="P289" s="4">
        <v>0.0</v>
      </c>
      <c r="Q289" s="5"/>
      <c r="R289" s="4">
        <v>277738.0</v>
      </c>
      <c r="S289" s="4">
        <v>399005.79</v>
      </c>
      <c r="T289" s="4">
        <v>133606.02</v>
      </c>
      <c r="U289" s="5" t="s">
        <v>1188</v>
      </c>
      <c r="V289" s="5" t="s">
        <v>36</v>
      </c>
      <c r="W289" s="4">
        <v>0.0</v>
      </c>
      <c r="X289" s="4">
        <v>0.0</v>
      </c>
      <c r="Y289" s="4">
        <v>41.0</v>
      </c>
      <c r="Z289" s="4">
        <v>41.0</v>
      </c>
      <c r="AA289" s="4">
        <v>460.0</v>
      </c>
      <c r="AB289" s="4">
        <v>501.0</v>
      </c>
      <c r="AC289" s="5" t="s">
        <v>1189</v>
      </c>
      <c r="AD289" s="5"/>
      <c r="AE289" s="7" t="s">
        <v>50</v>
      </c>
    </row>
    <row r="290">
      <c r="A290" s="4">
        <v>-8570765.228</v>
      </c>
      <c r="B290" s="4">
        <v>4707931.9708</v>
      </c>
      <c r="C290" s="4">
        <v>362184.0</v>
      </c>
      <c r="D290" s="5" t="s">
        <v>56</v>
      </c>
      <c r="E290" s="5" t="s">
        <v>1190</v>
      </c>
      <c r="F290" s="5" t="s">
        <v>1191</v>
      </c>
      <c r="G290" s="5" t="s">
        <v>33</v>
      </c>
      <c r="H290" s="5" t="s">
        <v>34</v>
      </c>
      <c r="I290" s="4">
        <v>1.0</v>
      </c>
      <c r="J290" s="4">
        <v>38.90401555</v>
      </c>
      <c r="K290" s="4">
        <v>-76.99248954</v>
      </c>
      <c r="L290" s="4">
        <v>0.0</v>
      </c>
      <c r="M290" s="4">
        <v>0.0</v>
      </c>
      <c r="N290" s="4">
        <v>0.0</v>
      </c>
      <c r="O290" s="4">
        <v>1.0</v>
      </c>
      <c r="P290" s="4">
        <v>0.0</v>
      </c>
      <c r="Q290" s="5"/>
      <c r="R290" s="4">
        <v>76374.0</v>
      </c>
      <c r="S290" s="4">
        <v>400651.26</v>
      </c>
      <c r="T290" s="4">
        <v>137350.25</v>
      </c>
      <c r="U290" s="5" t="s">
        <v>1192</v>
      </c>
      <c r="V290" s="5" t="s">
        <v>36</v>
      </c>
      <c r="W290" s="4">
        <v>0.0</v>
      </c>
      <c r="X290" s="4">
        <v>0.0</v>
      </c>
      <c r="Y290" s="4">
        <v>1.0</v>
      </c>
      <c r="Z290" s="4">
        <v>1.0</v>
      </c>
      <c r="AA290" s="4">
        <v>9.0</v>
      </c>
      <c r="AB290" s="4">
        <v>10.0</v>
      </c>
      <c r="AC290" s="5" t="s">
        <v>1193</v>
      </c>
      <c r="AD290" s="5"/>
      <c r="AE290" s="7" t="s">
        <v>50</v>
      </c>
    </row>
    <row r="291">
      <c r="A291" s="4">
        <v>-8568574.7973</v>
      </c>
      <c r="B291" s="4">
        <v>4711698.9781</v>
      </c>
      <c r="C291" s="4">
        <v>362186.0</v>
      </c>
      <c r="D291" s="5" t="s">
        <v>56</v>
      </c>
      <c r="E291" s="5" t="s">
        <v>1194</v>
      </c>
      <c r="F291" s="5" t="s">
        <v>1195</v>
      </c>
      <c r="G291" s="5" t="s">
        <v>310</v>
      </c>
      <c r="H291" s="5" t="s">
        <v>34</v>
      </c>
      <c r="I291" s="4">
        <v>4.0</v>
      </c>
      <c r="J291" s="4">
        <v>38.93034879</v>
      </c>
      <c r="K291" s="4">
        <v>-76.97282456</v>
      </c>
      <c r="L291" s="4">
        <v>0.0</v>
      </c>
      <c r="M291" s="4">
        <v>0.0</v>
      </c>
      <c r="N291" s="4">
        <v>0.0</v>
      </c>
      <c r="O291" s="4">
        <v>4.0</v>
      </c>
      <c r="P291" s="4">
        <v>0.0</v>
      </c>
      <c r="Q291" s="5"/>
      <c r="R291" s="4">
        <v>48109.0</v>
      </c>
      <c r="S291" s="4">
        <v>402357.15</v>
      </c>
      <c r="T291" s="4">
        <v>140273.32</v>
      </c>
      <c r="U291" s="5" t="s">
        <v>1196</v>
      </c>
      <c r="V291" s="5" t="s">
        <v>36</v>
      </c>
      <c r="W291" s="4">
        <v>0.0</v>
      </c>
      <c r="X291" s="4">
        <v>0.0</v>
      </c>
      <c r="Y291" s="4">
        <v>4.0</v>
      </c>
      <c r="Z291" s="4">
        <v>4.0</v>
      </c>
      <c r="AA291" s="4">
        <v>36.0</v>
      </c>
      <c r="AB291" s="4">
        <v>40.0</v>
      </c>
      <c r="AC291" s="5"/>
      <c r="AD291" s="5"/>
      <c r="AE291" s="7" t="s">
        <v>1138</v>
      </c>
    </row>
    <row r="292">
      <c r="A292" s="4">
        <v>-8569355.6711</v>
      </c>
      <c r="B292" s="4">
        <v>4707825.3294</v>
      </c>
      <c r="C292" s="4">
        <v>362187.0</v>
      </c>
      <c r="D292" s="5" t="s">
        <v>56</v>
      </c>
      <c r="E292" s="5" t="s">
        <v>1197</v>
      </c>
      <c r="F292" s="5" t="s">
        <v>1198</v>
      </c>
      <c r="G292" s="5" t="s">
        <v>33</v>
      </c>
      <c r="H292" s="5" t="s">
        <v>34</v>
      </c>
      <c r="I292" s="4">
        <v>1.0</v>
      </c>
      <c r="J292" s="4">
        <v>38.90326591</v>
      </c>
      <c r="K292" s="4">
        <v>-76.97985391</v>
      </c>
      <c r="L292" s="4">
        <v>0.0</v>
      </c>
      <c r="M292" s="4">
        <v>0.0</v>
      </c>
      <c r="N292" s="4">
        <v>0.0</v>
      </c>
      <c r="O292" s="4">
        <v>1.0</v>
      </c>
      <c r="P292" s="4">
        <v>0.0</v>
      </c>
      <c r="Q292" s="5"/>
      <c r="R292" s="4">
        <v>75491.0</v>
      </c>
      <c r="S292" s="4">
        <v>401749.59</v>
      </c>
      <c r="T292" s="4">
        <v>137267.66</v>
      </c>
      <c r="U292" s="5" t="s">
        <v>1199</v>
      </c>
      <c r="V292" s="5" t="s">
        <v>36</v>
      </c>
      <c r="W292" s="4">
        <v>0.0</v>
      </c>
      <c r="X292" s="4">
        <v>0.0</v>
      </c>
      <c r="Y292" s="4">
        <v>1.0</v>
      </c>
      <c r="Z292" s="4">
        <v>1.0</v>
      </c>
      <c r="AA292" s="4">
        <v>10.0</v>
      </c>
      <c r="AB292" s="4">
        <v>11.0</v>
      </c>
      <c r="AC292" s="5" t="s">
        <v>1200</v>
      </c>
      <c r="AD292" s="5"/>
      <c r="AE292" s="7" t="s">
        <v>50</v>
      </c>
    </row>
    <row r="293">
      <c r="A293" s="4">
        <v>-8570601.0925</v>
      </c>
      <c r="B293" s="4">
        <v>4710586.5655</v>
      </c>
      <c r="C293" s="4">
        <v>362188.0</v>
      </c>
      <c r="D293" s="5" t="s">
        <v>56</v>
      </c>
      <c r="E293" s="5" t="s">
        <v>1201</v>
      </c>
      <c r="F293" s="5" t="s">
        <v>1202</v>
      </c>
      <c r="G293" s="5" t="s">
        <v>33</v>
      </c>
      <c r="H293" s="5" t="s">
        <v>34</v>
      </c>
      <c r="I293" s="4">
        <v>1.0</v>
      </c>
      <c r="J293" s="4">
        <v>38.92260821</v>
      </c>
      <c r="K293" s="4">
        <v>-76.99103929</v>
      </c>
      <c r="L293" s="4">
        <v>0.0</v>
      </c>
      <c r="M293" s="4">
        <v>0.0</v>
      </c>
      <c r="N293" s="4">
        <v>1.0</v>
      </c>
      <c r="O293" s="4">
        <v>0.0</v>
      </c>
      <c r="P293" s="4">
        <v>0.0</v>
      </c>
      <c r="Q293" s="5"/>
      <c r="R293" s="4">
        <v>75934.0</v>
      </c>
      <c r="S293" s="4">
        <v>400778.95</v>
      </c>
      <c r="T293" s="4">
        <v>139410.02</v>
      </c>
      <c r="U293" s="5" t="s">
        <v>1203</v>
      </c>
      <c r="V293" s="5" t="s">
        <v>36</v>
      </c>
      <c r="W293" s="4">
        <v>0.0</v>
      </c>
      <c r="X293" s="4">
        <v>0.0</v>
      </c>
      <c r="Y293" s="4">
        <v>1.0</v>
      </c>
      <c r="Z293" s="4">
        <v>1.0</v>
      </c>
      <c r="AA293" s="4">
        <v>7.0</v>
      </c>
      <c r="AB293" s="4">
        <v>8.0</v>
      </c>
      <c r="AC293" s="5" t="s">
        <v>789</v>
      </c>
      <c r="AD293" s="5"/>
      <c r="AE293" s="7" t="s">
        <v>50</v>
      </c>
    </row>
    <row r="294">
      <c r="A294" s="4">
        <v>-8574682.909</v>
      </c>
      <c r="B294" s="4">
        <v>4712501.6603</v>
      </c>
      <c r="C294" s="4">
        <v>362190.0</v>
      </c>
      <c r="D294" s="5" t="s">
        <v>51</v>
      </c>
      <c r="E294" s="5" t="s">
        <v>1204</v>
      </c>
      <c r="F294" s="5" t="s">
        <v>1205</v>
      </c>
      <c r="G294" s="5" t="s">
        <v>33</v>
      </c>
      <c r="H294" s="5" t="s">
        <v>63</v>
      </c>
      <c r="I294" s="4">
        <v>0.0</v>
      </c>
      <c r="J294" s="4">
        <v>38.93594607</v>
      </c>
      <c r="K294" s="4">
        <v>-77.02768484</v>
      </c>
      <c r="L294" s="4">
        <v>0.0</v>
      </c>
      <c r="M294" s="4">
        <v>0.0</v>
      </c>
      <c r="N294" s="4">
        <v>0.0</v>
      </c>
      <c r="O294" s="4">
        <v>0.0</v>
      </c>
      <c r="P294" s="4">
        <v>3.0</v>
      </c>
      <c r="Q294" s="5"/>
      <c r="R294" s="4">
        <v>320397.0</v>
      </c>
      <c r="S294" s="4">
        <v>397599.72</v>
      </c>
      <c r="T294" s="4">
        <v>140895.98</v>
      </c>
      <c r="U294" s="5" t="s">
        <v>1206</v>
      </c>
      <c r="V294" s="5" t="s">
        <v>36</v>
      </c>
      <c r="W294" s="4">
        <v>0.0</v>
      </c>
      <c r="X294" s="4">
        <v>0.0</v>
      </c>
      <c r="Y294" s="4">
        <v>0.0</v>
      </c>
      <c r="Z294" s="4">
        <v>0.0</v>
      </c>
      <c r="AA294" s="4">
        <v>7.0</v>
      </c>
      <c r="AB294" s="4">
        <v>10.0</v>
      </c>
      <c r="AC294" s="5" t="s">
        <v>1207</v>
      </c>
      <c r="AD294" s="5"/>
      <c r="AE294" s="7" t="s">
        <v>50</v>
      </c>
    </row>
    <row r="295">
      <c r="A295" s="4">
        <v>-8580800.1125</v>
      </c>
      <c r="B295" s="4">
        <v>4716325.8056</v>
      </c>
      <c r="C295" s="4">
        <v>362191.0</v>
      </c>
      <c r="D295" s="5" t="s">
        <v>341</v>
      </c>
      <c r="E295" s="5" t="s">
        <v>1208</v>
      </c>
      <c r="F295" s="5" t="s">
        <v>1209</v>
      </c>
      <c r="G295" s="5" t="s">
        <v>33</v>
      </c>
      <c r="H295" s="5" t="s">
        <v>102</v>
      </c>
      <c r="I295" s="4">
        <v>93.0</v>
      </c>
      <c r="J295" s="4">
        <v>38.96276557</v>
      </c>
      <c r="K295" s="4">
        <v>-77.08244091</v>
      </c>
      <c r="L295" s="4">
        <v>52.0</v>
      </c>
      <c r="M295" s="4">
        <v>41.0</v>
      </c>
      <c r="N295" s="4">
        <v>0.0</v>
      </c>
      <c r="O295" s="4">
        <v>0.0</v>
      </c>
      <c r="P295" s="4">
        <v>0.0</v>
      </c>
      <c r="Q295" s="5" t="s">
        <v>1210</v>
      </c>
      <c r="R295" s="4">
        <v>337368.0</v>
      </c>
      <c r="S295" s="4">
        <v>392838.08</v>
      </c>
      <c r="T295" s="4">
        <v>143864.61</v>
      </c>
      <c r="U295" s="5" t="s">
        <v>1211</v>
      </c>
      <c r="V295" s="5" t="s">
        <v>36</v>
      </c>
      <c r="W295" s="4">
        <v>0.0</v>
      </c>
      <c r="X295" s="4">
        <v>0.0</v>
      </c>
      <c r="Y295" s="4">
        <v>93.0</v>
      </c>
      <c r="Z295" s="4">
        <v>93.0</v>
      </c>
      <c r="AA295" s="4">
        <v>0.0</v>
      </c>
      <c r="AB295" s="4">
        <v>93.0</v>
      </c>
      <c r="AC295" s="5" t="s">
        <v>984</v>
      </c>
      <c r="AD295" s="5"/>
      <c r="AE295" s="5"/>
    </row>
    <row r="296">
      <c r="A296" s="4">
        <v>-8581126.3074</v>
      </c>
      <c r="B296" s="4">
        <v>4715897.276</v>
      </c>
      <c r="C296" s="4">
        <v>362192.0</v>
      </c>
      <c r="D296" s="5" t="s">
        <v>341</v>
      </c>
      <c r="E296" s="5" t="s">
        <v>1212</v>
      </c>
      <c r="F296" s="5" t="s">
        <v>1213</v>
      </c>
      <c r="G296" s="5" t="s">
        <v>33</v>
      </c>
      <c r="H296" s="5" t="s">
        <v>34</v>
      </c>
      <c r="I296" s="4">
        <v>41.0</v>
      </c>
      <c r="J296" s="4">
        <v>38.95971848</v>
      </c>
      <c r="K296" s="4">
        <v>-77.08576744</v>
      </c>
      <c r="L296" s="4">
        <v>0.0</v>
      </c>
      <c r="M296" s="4">
        <v>4.0</v>
      </c>
      <c r="N296" s="4">
        <v>37.0</v>
      </c>
      <c r="O296" s="4">
        <v>0.0</v>
      </c>
      <c r="P296" s="4">
        <v>0.0</v>
      </c>
      <c r="Q296" s="5"/>
      <c r="R296" s="4">
        <v>265944.0</v>
      </c>
      <c r="S296" s="4">
        <v>392583.81</v>
      </c>
      <c r="T296" s="4">
        <v>143532.56</v>
      </c>
      <c r="U296" s="5" t="s">
        <v>1214</v>
      </c>
      <c r="V296" s="5" t="s">
        <v>36</v>
      </c>
      <c r="W296" s="4">
        <v>0.0</v>
      </c>
      <c r="X296" s="4">
        <v>0.0</v>
      </c>
      <c r="Y296" s="4">
        <v>41.0</v>
      </c>
      <c r="Z296" s="4">
        <v>41.0</v>
      </c>
      <c r="AA296" s="4">
        <v>280.0</v>
      </c>
      <c r="AB296" s="4">
        <v>321.0</v>
      </c>
      <c r="AC296" s="5" t="s">
        <v>659</v>
      </c>
      <c r="AD296" s="5"/>
      <c r="AE296" s="7" t="s">
        <v>50</v>
      </c>
    </row>
    <row r="297">
      <c r="A297" s="4">
        <v>-8581013.2764</v>
      </c>
      <c r="B297" s="4">
        <v>4715905.9578</v>
      </c>
      <c r="C297" s="4">
        <v>362193.0</v>
      </c>
      <c r="D297" s="5" t="s">
        <v>341</v>
      </c>
      <c r="E297" s="5" t="s">
        <v>1215</v>
      </c>
      <c r="F297" s="5" t="s">
        <v>1216</v>
      </c>
      <c r="G297" s="5" t="s">
        <v>310</v>
      </c>
      <c r="H297" s="5" t="s">
        <v>374</v>
      </c>
      <c r="I297" s="4">
        <v>55.0</v>
      </c>
      <c r="J297" s="4">
        <v>38.95972972</v>
      </c>
      <c r="K297" s="4">
        <v>-77.08455148</v>
      </c>
      <c r="L297" s="4">
        <v>2.0</v>
      </c>
      <c r="M297" s="4">
        <v>26.0</v>
      </c>
      <c r="N297" s="4">
        <v>27.0</v>
      </c>
      <c r="O297" s="4">
        <v>0.0</v>
      </c>
      <c r="P297" s="4">
        <v>0.0</v>
      </c>
      <c r="Q297" s="5" t="s">
        <v>1217</v>
      </c>
      <c r="R297" s="4">
        <v>265947.0</v>
      </c>
      <c r="S297" s="4">
        <v>392671.82</v>
      </c>
      <c r="T297" s="4">
        <v>143539.21</v>
      </c>
      <c r="U297" s="5" t="s">
        <v>1218</v>
      </c>
      <c r="V297" s="5" t="s">
        <v>36</v>
      </c>
      <c r="W297" s="4">
        <v>0.0</v>
      </c>
      <c r="X297" s="4">
        <v>0.0</v>
      </c>
      <c r="Y297" s="4">
        <v>55.0</v>
      </c>
      <c r="Z297" s="4">
        <v>55.0</v>
      </c>
      <c r="AA297" s="4">
        <v>262.0</v>
      </c>
      <c r="AB297" s="4">
        <v>317.0</v>
      </c>
      <c r="AC297" s="5"/>
      <c r="AD297" s="5"/>
      <c r="AE297" s="5" t="s">
        <v>870</v>
      </c>
    </row>
    <row r="298">
      <c r="A298" s="4">
        <v>-8574242.4385</v>
      </c>
      <c r="B298" s="4">
        <v>4715396.9005</v>
      </c>
      <c r="C298" s="4">
        <v>362197.0</v>
      </c>
      <c r="D298" s="5" t="s">
        <v>51</v>
      </c>
      <c r="E298" s="5" t="s">
        <v>1219</v>
      </c>
      <c r="F298" s="5" t="s">
        <v>1220</v>
      </c>
      <c r="G298" s="5" t="s">
        <v>33</v>
      </c>
      <c r="H298" s="5" t="s">
        <v>34</v>
      </c>
      <c r="I298" s="4">
        <v>1.0</v>
      </c>
      <c r="J298" s="4">
        <v>38.95617411</v>
      </c>
      <c r="K298" s="4">
        <v>-77.02372803</v>
      </c>
      <c r="L298" s="4">
        <v>0.0</v>
      </c>
      <c r="M298" s="4">
        <v>0.0</v>
      </c>
      <c r="N298" s="4">
        <v>1.0</v>
      </c>
      <c r="O298" s="4">
        <v>0.0</v>
      </c>
      <c r="P298" s="4">
        <v>0.0</v>
      </c>
      <c r="Q298" s="5"/>
      <c r="R298" s="4">
        <v>285395.0</v>
      </c>
      <c r="S298" s="4">
        <v>397943.36</v>
      </c>
      <c r="T298" s="4">
        <v>143141.34</v>
      </c>
      <c r="U298" s="5" t="s">
        <v>1221</v>
      </c>
      <c r="V298" s="5" t="s">
        <v>36</v>
      </c>
      <c r="W298" s="4">
        <v>0.0</v>
      </c>
      <c r="X298" s="4">
        <v>0.0</v>
      </c>
      <c r="Y298" s="4">
        <v>1.0</v>
      </c>
      <c r="Z298" s="4">
        <v>1.0</v>
      </c>
      <c r="AA298" s="4">
        <v>14.0</v>
      </c>
      <c r="AB298" s="4">
        <v>15.0</v>
      </c>
      <c r="AC298" s="5" t="s">
        <v>281</v>
      </c>
      <c r="AD298" s="5"/>
      <c r="AE298" s="7" t="s">
        <v>50</v>
      </c>
    </row>
    <row r="299">
      <c r="A299" s="4">
        <v>-8571714.7982</v>
      </c>
      <c r="B299" s="4">
        <v>4708511.6049</v>
      </c>
      <c r="C299" s="4">
        <v>362199.0</v>
      </c>
      <c r="D299" s="5" t="s">
        <v>56</v>
      </c>
      <c r="E299" s="5" t="s">
        <v>1222</v>
      </c>
      <c r="F299" s="5" t="s">
        <v>1223</v>
      </c>
      <c r="G299" s="5" t="s">
        <v>33</v>
      </c>
      <c r="H299" s="5" t="s">
        <v>42</v>
      </c>
      <c r="I299" s="4">
        <v>11.0</v>
      </c>
      <c r="J299" s="4">
        <v>38.90792947</v>
      </c>
      <c r="K299" s="4">
        <v>-77.00087624</v>
      </c>
      <c r="L299" s="4">
        <v>0.0</v>
      </c>
      <c r="M299" s="4">
        <v>6.0</v>
      </c>
      <c r="N299" s="4">
        <v>0.0</v>
      </c>
      <c r="O299" s="4">
        <v>5.0</v>
      </c>
      <c r="P299" s="4">
        <v>0.0</v>
      </c>
      <c r="Q299" s="5" t="s">
        <v>182</v>
      </c>
      <c r="R299" s="4">
        <v>302079.0</v>
      </c>
      <c r="S299" s="4">
        <v>399911.37</v>
      </c>
      <c r="T299" s="4">
        <v>137800.02</v>
      </c>
      <c r="U299" s="5" t="s">
        <v>1224</v>
      </c>
      <c r="V299" s="5" t="s">
        <v>36</v>
      </c>
      <c r="W299" s="4">
        <v>0.0</v>
      </c>
      <c r="X299" s="4">
        <v>0.0</v>
      </c>
      <c r="Y299" s="4">
        <v>11.0</v>
      </c>
      <c r="Z299" s="4">
        <v>11.0</v>
      </c>
      <c r="AA299" s="4">
        <v>89.0</v>
      </c>
      <c r="AB299" s="4">
        <v>100.0</v>
      </c>
      <c r="AC299" s="5" t="s">
        <v>1225</v>
      </c>
      <c r="AD299" s="5"/>
      <c r="AE299" s="5"/>
    </row>
    <row r="300">
      <c r="A300" s="4">
        <v>-8571587.4147</v>
      </c>
      <c r="B300" s="4">
        <v>4708729.1912</v>
      </c>
      <c r="C300" s="4">
        <v>362200.0</v>
      </c>
      <c r="D300" s="5" t="s">
        <v>56</v>
      </c>
      <c r="E300" s="5" t="s">
        <v>1226</v>
      </c>
      <c r="F300" s="5" t="s">
        <v>1227</v>
      </c>
      <c r="G300" s="5" t="s">
        <v>33</v>
      </c>
      <c r="H300" s="5" t="s">
        <v>42</v>
      </c>
      <c r="I300" s="4">
        <v>17.0</v>
      </c>
      <c r="J300" s="4">
        <v>38.90958091</v>
      </c>
      <c r="K300" s="4">
        <v>-76.99987755</v>
      </c>
      <c r="L300" s="4">
        <v>0.0</v>
      </c>
      <c r="M300" s="4">
        <v>9.0</v>
      </c>
      <c r="N300" s="4">
        <v>0.0</v>
      </c>
      <c r="O300" s="4">
        <v>8.0</v>
      </c>
      <c r="P300" s="4">
        <v>0.0</v>
      </c>
      <c r="Q300" s="5" t="s">
        <v>1228</v>
      </c>
      <c r="R300" s="4">
        <v>336867.0</v>
      </c>
      <c r="S300" s="4">
        <v>400010.62</v>
      </c>
      <c r="T300" s="4">
        <v>137968.86</v>
      </c>
      <c r="U300" s="5" t="s">
        <v>1229</v>
      </c>
      <c r="V300" s="5" t="s">
        <v>36</v>
      </c>
      <c r="W300" s="4">
        <v>0.0</v>
      </c>
      <c r="X300" s="4">
        <v>0.0</v>
      </c>
      <c r="Y300" s="4">
        <v>17.0</v>
      </c>
      <c r="Z300" s="4">
        <v>17.0</v>
      </c>
      <c r="AA300" s="4">
        <v>142.0</v>
      </c>
      <c r="AB300" s="4">
        <v>159.0</v>
      </c>
      <c r="AC300" s="5" t="s">
        <v>387</v>
      </c>
      <c r="AD300" s="5"/>
      <c r="AE300" s="5"/>
    </row>
    <row r="301">
      <c r="A301" s="4">
        <v>-8568167.3503</v>
      </c>
      <c r="B301" s="4">
        <v>4703579.4135</v>
      </c>
      <c r="C301" s="4">
        <v>362203.0</v>
      </c>
      <c r="D301" s="5" t="s">
        <v>30</v>
      </c>
      <c r="E301" s="5" t="s">
        <v>1230</v>
      </c>
      <c r="F301" s="5" t="s">
        <v>1231</v>
      </c>
      <c r="G301" s="5" t="s">
        <v>33</v>
      </c>
      <c r="H301" s="5" t="s">
        <v>34</v>
      </c>
      <c r="I301" s="4">
        <v>26.0</v>
      </c>
      <c r="J301" s="4">
        <v>38.87357416</v>
      </c>
      <c r="K301" s="4">
        <v>-76.9691546</v>
      </c>
      <c r="L301" s="4">
        <v>0.0</v>
      </c>
      <c r="M301" s="4">
        <v>12.0</v>
      </c>
      <c r="N301" s="4">
        <v>6.0</v>
      </c>
      <c r="O301" s="4">
        <v>8.0</v>
      </c>
      <c r="P301" s="4">
        <v>0.0</v>
      </c>
      <c r="Q301" s="5"/>
      <c r="R301" s="4">
        <v>320165.0</v>
      </c>
      <c r="S301" s="4">
        <v>402676.64</v>
      </c>
      <c r="T301" s="4">
        <v>133972.28</v>
      </c>
      <c r="U301" s="5" t="s">
        <v>1232</v>
      </c>
      <c r="V301" s="5" t="s">
        <v>36</v>
      </c>
      <c r="W301" s="4">
        <v>0.0</v>
      </c>
      <c r="X301" s="4">
        <v>0.0</v>
      </c>
      <c r="Y301" s="4">
        <v>26.0</v>
      </c>
      <c r="Z301" s="4">
        <v>26.0</v>
      </c>
      <c r="AA301" s="4">
        <v>0.0</v>
      </c>
      <c r="AB301" s="4">
        <v>26.0</v>
      </c>
      <c r="AC301" s="5" t="s">
        <v>1171</v>
      </c>
      <c r="AD301" s="5"/>
      <c r="AE301" s="7" t="s">
        <v>50</v>
      </c>
    </row>
    <row r="302">
      <c r="A302" s="4">
        <v>-8572760.0655</v>
      </c>
      <c r="B302" s="4">
        <v>4707776.1326</v>
      </c>
      <c r="C302" s="4">
        <v>362204.0</v>
      </c>
      <c r="D302" s="5" t="s">
        <v>39</v>
      </c>
      <c r="E302" s="5" t="s">
        <v>1233</v>
      </c>
      <c r="F302" s="5" t="s">
        <v>1234</v>
      </c>
      <c r="G302" s="5" t="s">
        <v>33</v>
      </c>
      <c r="H302" s="5" t="s">
        <v>229</v>
      </c>
      <c r="I302" s="4">
        <v>212.0</v>
      </c>
      <c r="J302" s="4">
        <v>38.90291892</v>
      </c>
      <c r="K302" s="4">
        <v>-77.01041165</v>
      </c>
      <c r="L302" s="4">
        <v>83.0</v>
      </c>
      <c r="M302" s="4">
        <v>0.0</v>
      </c>
      <c r="N302" s="4">
        <v>129.0</v>
      </c>
      <c r="O302" s="4">
        <v>0.0</v>
      </c>
      <c r="P302" s="4">
        <v>0.0</v>
      </c>
      <c r="Q302" s="5"/>
      <c r="R302" s="4">
        <v>237134.0</v>
      </c>
      <c r="S302" s="4">
        <v>399096.89</v>
      </c>
      <c r="T302" s="4">
        <v>137229.34</v>
      </c>
      <c r="U302" s="5" t="s">
        <v>1235</v>
      </c>
      <c r="V302" s="5" t="s">
        <v>36</v>
      </c>
      <c r="W302" s="4">
        <v>83.0</v>
      </c>
      <c r="X302" s="4">
        <v>0.0</v>
      </c>
      <c r="Y302" s="4">
        <v>129.0</v>
      </c>
      <c r="Z302" s="4">
        <v>129.0</v>
      </c>
      <c r="AA302" s="4">
        <v>0.0</v>
      </c>
      <c r="AB302" s="4">
        <v>212.0</v>
      </c>
      <c r="AC302" s="5" t="s">
        <v>1236</v>
      </c>
      <c r="AD302" s="5"/>
      <c r="AE302" s="7" t="s">
        <v>50</v>
      </c>
    </row>
    <row r="303">
      <c r="A303" s="4">
        <v>-8580254.8167</v>
      </c>
      <c r="B303" s="4">
        <v>4713071.7251</v>
      </c>
      <c r="C303" s="4">
        <v>362206.0</v>
      </c>
      <c r="D303" s="5" t="s">
        <v>341</v>
      </c>
      <c r="E303" s="5" t="s">
        <v>1237</v>
      </c>
      <c r="F303" s="5" t="s">
        <v>1238</v>
      </c>
      <c r="G303" s="5" t="s">
        <v>33</v>
      </c>
      <c r="H303" s="5" t="s">
        <v>34</v>
      </c>
      <c r="I303" s="4">
        <v>19.0</v>
      </c>
      <c r="J303" s="4">
        <v>38.9399293</v>
      </c>
      <c r="K303" s="4">
        <v>-77.07773812</v>
      </c>
      <c r="L303" s="4">
        <v>0.0</v>
      </c>
      <c r="M303" s="4">
        <v>1.0</v>
      </c>
      <c r="N303" s="4">
        <v>18.0</v>
      </c>
      <c r="O303" s="4">
        <v>0.0</v>
      </c>
      <c r="P303" s="4">
        <v>0.0</v>
      </c>
      <c r="Q303" s="5"/>
      <c r="R303" s="4">
        <v>331635.0</v>
      </c>
      <c r="S303" s="4">
        <v>393260.47</v>
      </c>
      <c r="T303" s="4">
        <v>141340.66</v>
      </c>
      <c r="U303" s="5" t="s">
        <v>1239</v>
      </c>
      <c r="V303" s="5" t="s">
        <v>36</v>
      </c>
      <c r="W303" s="4">
        <v>0.0</v>
      </c>
      <c r="X303" s="4">
        <v>0.0</v>
      </c>
      <c r="Y303" s="4">
        <v>19.0</v>
      </c>
      <c r="Z303" s="4">
        <v>19.0</v>
      </c>
      <c r="AA303" s="4">
        <v>224.0</v>
      </c>
      <c r="AB303" s="4">
        <v>243.0</v>
      </c>
      <c r="AC303" s="5" t="s">
        <v>1240</v>
      </c>
      <c r="AD303" s="5"/>
      <c r="AE303" s="7" t="s">
        <v>50</v>
      </c>
    </row>
    <row r="304">
      <c r="A304" s="4">
        <v>-8575214.9988</v>
      </c>
      <c r="B304" s="4">
        <v>4712984.0028</v>
      </c>
      <c r="C304" s="4">
        <v>362208.0</v>
      </c>
      <c r="D304" s="5" t="s">
        <v>51</v>
      </c>
      <c r="E304" s="5" t="s">
        <v>1241</v>
      </c>
      <c r="F304" s="5" t="s">
        <v>1242</v>
      </c>
      <c r="G304" s="5" t="s">
        <v>33</v>
      </c>
      <c r="H304" s="5" t="s">
        <v>34</v>
      </c>
      <c r="I304" s="4">
        <v>1.0</v>
      </c>
      <c r="J304" s="4">
        <v>38.93931671</v>
      </c>
      <c r="K304" s="4">
        <v>-77.03246468</v>
      </c>
      <c r="L304" s="4">
        <v>0.0</v>
      </c>
      <c r="M304" s="4">
        <v>1.0</v>
      </c>
      <c r="N304" s="4">
        <v>0.0</v>
      </c>
      <c r="O304" s="4">
        <v>0.0</v>
      </c>
      <c r="P304" s="4">
        <v>0.0</v>
      </c>
      <c r="Q304" s="5"/>
      <c r="R304" s="4">
        <v>224888.0</v>
      </c>
      <c r="S304" s="4">
        <v>397185.44</v>
      </c>
      <c r="T304" s="4">
        <v>141270.25</v>
      </c>
      <c r="U304" s="5" t="s">
        <v>1243</v>
      </c>
      <c r="V304" s="5" t="s">
        <v>36</v>
      </c>
      <c r="W304" s="4">
        <v>0.0</v>
      </c>
      <c r="X304" s="4">
        <v>0.0</v>
      </c>
      <c r="Y304" s="4">
        <v>1.0</v>
      </c>
      <c r="Z304" s="4">
        <v>1.0</v>
      </c>
      <c r="AA304" s="4">
        <v>6.0</v>
      </c>
      <c r="AB304" s="4">
        <v>7.0</v>
      </c>
      <c r="AC304" s="5" t="s">
        <v>240</v>
      </c>
      <c r="AD304" s="5"/>
      <c r="AE304" s="7" t="s">
        <v>50</v>
      </c>
    </row>
    <row r="305">
      <c r="A305" s="4">
        <v>-8562480.8282</v>
      </c>
      <c r="B305" s="4">
        <v>4706546.7527</v>
      </c>
      <c r="C305" s="4">
        <v>362210.0</v>
      </c>
      <c r="D305" s="5" t="s">
        <v>30</v>
      </c>
      <c r="E305" s="5" t="s">
        <v>1244</v>
      </c>
      <c r="F305" s="5" t="s">
        <v>1245</v>
      </c>
      <c r="G305" s="5" t="s">
        <v>33</v>
      </c>
      <c r="H305" s="5" t="s">
        <v>34</v>
      </c>
      <c r="I305" s="4">
        <v>47.0</v>
      </c>
      <c r="J305" s="4">
        <v>38.89440761</v>
      </c>
      <c r="K305" s="4">
        <v>-76.91824315</v>
      </c>
      <c r="L305" s="4">
        <v>24.0</v>
      </c>
      <c r="M305" s="4">
        <v>13.0</v>
      </c>
      <c r="N305" s="4">
        <v>0.0</v>
      </c>
      <c r="O305" s="4">
        <v>10.0</v>
      </c>
      <c r="P305" s="4">
        <v>0.0</v>
      </c>
      <c r="Q305" s="5"/>
      <c r="R305" s="4">
        <v>288711.0</v>
      </c>
      <c r="S305" s="4">
        <v>407107.34</v>
      </c>
      <c r="T305" s="4">
        <v>136278.38</v>
      </c>
      <c r="U305" s="5" t="s">
        <v>1246</v>
      </c>
      <c r="V305" s="5" t="s">
        <v>36</v>
      </c>
      <c r="W305" s="4">
        <v>14.0</v>
      </c>
      <c r="X305" s="4">
        <v>0.0</v>
      </c>
      <c r="Y305" s="4">
        <v>33.0</v>
      </c>
      <c r="Z305" s="4">
        <v>33.0</v>
      </c>
      <c r="AA305" s="4">
        <v>0.0</v>
      </c>
      <c r="AB305" s="4">
        <v>47.0</v>
      </c>
      <c r="AC305" s="5" t="s">
        <v>1247</v>
      </c>
      <c r="AD305" s="5"/>
      <c r="AE305" s="7" t="s">
        <v>50</v>
      </c>
    </row>
    <row r="306">
      <c r="A306" s="4">
        <v>-8575363.1194</v>
      </c>
      <c r="B306" s="4">
        <v>4717674.8936</v>
      </c>
      <c r="C306" s="4">
        <v>362212.0</v>
      </c>
      <c r="D306" s="5" t="s">
        <v>51</v>
      </c>
      <c r="E306" s="5" t="s">
        <v>1248</v>
      </c>
      <c r="F306" s="5" t="s">
        <v>1249</v>
      </c>
      <c r="G306" s="5" t="s">
        <v>33</v>
      </c>
      <c r="H306" s="5" t="s">
        <v>34</v>
      </c>
      <c r="I306" s="4">
        <v>30.0</v>
      </c>
      <c r="J306" s="4">
        <v>38.97208408</v>
      </c>
      <c r="K306" s="4">
        <v>-77.03377381</v>
      </c>
      <c r="L306" s="4">
        <v>0.0</v>
      </c>
      <c r="M306" s="4">
        <v>15.0</v>
      </c>
      <c r="N306" s="4">
        <v>15.0</v>
      </c>
      <c r="O306" s="4">
        <v>0.0</v>
      </c>
      <c r="P306" s="4">
        <v>0.0</v>
      </c>
      <c r="Q306" s="5"/>
      <c r="R306" s="4">
        <v>258035.0</v>
      </c>
      <c r="S306" s="4">
        <v>397071.43</v>
      </c>
      <c r="T306" s="4">
        <v>144907.91</v>
      </c>
      <c r="U306" s="5" t="s">
        <v>1250</v>
      </c>
      <c r="V306" s="5" t="s">
        <v>36</v>
      </c>
      <c r="W306" s="4">
        <v>0.0</v>
      </c>
      <c r="X306" s="4">
        <v>30.0</v>
      </c>
      <c r="Y306" s="4">
        <v>0.0</v>
      </c>
      <c r="Z306" s="4">
        <v>30.0</v>
      </c>
      <c r="AA306" s="4">
        <v>0.0</v>
      </c>
      <c r="AB306" s="4">
        <v>30.0</v>
      </c>
      <c r="AC306" s="5" t="s">
        <v>1251</v>
      </c>
      <c r="AD306" s="5"/>
      <c r="AE306" s="7" t="s">
        <v>50</v>
      </c>
    </row>
    <row r="307">
      <c r="A307" s="4">
        <v>-8578711.9063</v>
      </c>
      <c r="B307" s="4">
        <v>4708184.0131</v>
      </c>
      <c r="C307" s="4">
        <v>362215.0</v>
      </c>
      <c r="D307" s="5" t="s">
        <v>442</v>
      </c>
      <c r="E307" s="5" t="s">
        <v>1252</v>
      </c>
      <c r="F307" s="5" t="s">
        <v>1253</v>
      </c>
      <c r="G307" s="5" t="s">
        <v>33</v>
      </c>
      <c r="H307" s="5" t="s">
        <v>34</v>
      </c>
      <c r="I307" s="4">
        <v>9.0</v>
      </c>
      <c r="J307" s="4">
        <v>38.90576994</v>
      </c>
      <c r="K307" s="4">
        <v>-77.06387793</v>
      </c>
      <c r="L307" s="4">
        <v>0.0</v>
      </c>
      <c r="M307" s="4">
        <v>0.0</v>
      </c>
      <c r="N307" s="4">
        <v>9.0</v>
      </c>
      <c r="O307" s="4">
        <v>0.0</v>
      </c>
      <c r="P307" s="4">
        <v>0.0</v>
      </c>
      <c r="Q307" s="5"/>
      <c r="R307" s="4">
        <v>302076.0</v>
      </c>
      <c r="S307" s="4">
        <v>394459.43</v>
      </c>
      <c r="T307" s="4">
        <v>137547.75</v>
      </c>
      <c r="U307" s="5" t="s">
        <v>1254</v>
      </c>
      <c r="V307" s="5" t="s">
        <v>36</v>
      </c>
      <c r="W307" s="4">
        <v>0.0</v>
      </c>
      <c r="X307" s="4">
        <v>0.0</v>
      </c>
      <c r="Y307" s="4">
        <v>9.0</v>
      </c>
      <c r="Z307" s="4">
        <v>9.0</v>
      </c>
      <c r="AA307" s="4">
        <v>106.0</v>
      </c>
      <c r="AB307" s="4">
        <v>115.0</v>
      </c>
      <c r="AC307" s="5" t="s">
        <v>1255</v>
      </c>
      <c r="AD307" s="5"/>
      <c r="AE307" s="7" t="s">
        <v>50</v>
      </c>
    </row>
    <row r="308">
      <c r="A308" s="4">
        <v>-8568527.5787</v>
      </c>
      <c r="B308" s="4">
        <v>4711735.8192</v>
      </c>
      <c r="C308" s="4">
        <v>362217.0</v>
      </c>
      <c r="D308" s="5" t="s">
        <v>56</v>
      </c>
      <c r="E308" s="5" t="s">
        <v>1256</v>
      </c>
      <c r="F308" s="5" t="s">
        <v>1257</v>
      </c>
      <c r="G308" s="5" t="s">
        <v>33</v>
      </c>
      <c r="H308" s="5" t="s">
        <v>34</v>
      </c>
      <c r="I308" s="4">
        <v>2.0</v>
      </c>
      <c r="J308" s="4">
        <v>38.93063151</v>
      </c>
      <c r="K308" s="4">
        <v>-76.97236958</v>
      </c>
      <c r="L308" s="4">
        <v>0.0</v>
      </c>
      <c r="M308" s="4">
        <v>0.0</v>
      </c>
      <c r="N308" s="4">
        <v>2.0</v>
      </c>
      <c r="O308" s="4">
        <v>0.0</v>
      </c>
      <c r="P308" s="4">
        <v>0.0</v>
      </c>
      <c r="Q308" s="5"/>
      <c r="R308" s="4">
        <v>287009.0</v>
      </c>
      <c r="S308" s="4">
        <v>402393.92</v>
      </c>
      <c r="T308" s="4">
        <v>140301.91</v>
      </c>
      <c r="U308" s="5" t="s">
        <v>1258</v>
      </c>
      <c r="V308" s="5" t="s">
        <v>36</v>
      </c>
      <c r="W308" s="4">
        <v>0.0</v>
      </c>
      <c r="X308" s="4">
        <v>0.0</v>
      </c>
      <c r="Y308" s="4">
        <v>2.0</v>
      </c>
      <c r="Z308" s="4">
        <v>2.0</v>
      </c>
      <c r="AA308" s="4">
        <v>18.0</v>
      </c>
      <c r="AB308" s="4">
        <v>20.0</v>
      </c>
      <c r="AC308" s="5" t="s">
        <v>1259</v>
      </c>
      <c r="AD308" s="5"/>
      <c r="AE308" s="7" t="s">
        <v>50</v>
      </c>
    </row>
    <row r="309">
      <c r="A309" s="4">
        <v>-8574568.2361</v>
      </c>
      <c r="B309" s="4">
        <v>4708432.6634</v>
      </c>
      <c r="C309" s="4">
        <v>362218.0</v>
      </c>
      <c r="D309" s="5" t="s">
        <v>442</v>
      </c>
      <c r="E309" s="5" t="s">
        <v>1260</v>
      </c>
      <c r="F309" s="5" t="s">
        <v>1261</v>
      </c>
      <c r="G309" s="5" t="s">
        <v>310</v>
      </c>
      <c r="H309" s="5" t="s">
        <v>34</v>
      </c>
      <c r="I309" s="4">
        <v>5.0</v>
      </c>
      <c r="J309" s="4">
        <v>38.90750811</v>
      </c>
      <c r="K309" s="4">
        <v>-77.02665472</v>
      </c>
      <c r="L309" s="4">
        <v>0.0</v>
      </c>
      <c r="M309" s="4">
        <v>1.0</v>
      </c>
      <c r="N309" s="4">
        <v>4.0</v>
      </c>
      <c r="O309" s="4">
        <v>0.0</v>
      </c>
      <c r="P309" s="4">
        <v>0.0</v>
      </c>
      <c r="Q309" s="5"/>
      <c r="R309" s="4">
        <v>334660.0</v>
      </c>
      <c r="S309" s="4">
        <v>397688.11</v>
      </c>
      <c r="T309" s="4">
        <v>137739.1</v>
      </c>
      <c r="U309" s="5" t="s">
        <v>1262</v>
      </c>
      <c r="V309" s="5" t="s">
        <v>36</v>
      </c>
      <c r="W309" s="4">
        <v>0.0</v>
      </c>
      <c r="X309" s="4">
        <v>0.0</v>
      </c>
      <c r="Y309" s="4">
        <v>5.0</v>
      </c>
      <c r="Z309" s="4">
        <v>5.0</v>
      </c>
      <c r="AA309" s="4">
        <v>39.0</v>
      </c>
      <c r="AB309" s="4">
        <v>44.0</v>
      </c>
      <c r="AC309" s="5"/>
      <c r="AD309" s="5"/>
      <c r="AE309" s="7" t="s">
        <v>1138</v>
      </c>
    </row>
    <row r="310">
      <c r="A310" s="4">
        <v>-8574084.5559</v>
      </c>
      <c r="B310" s="4">
        <v>4710963.9938</v>
      </c>
      <c r="C310" s="4">
        <v>362221.0</v>
      </c>
      <c r="D310" s="5" t="s">
        <v>114</v>
      </c>
      <c r="E310" s="5" t="s">
        <v>1263</v>
      </c>
      <c r="F310" s="5" t="s">
        <v>1264</v>
      </c>
      <c r="G310" s="5" t="s">
        <v>33</v>
      </c>
      <c r="H310" s="5" t="s">
        <v>34</v>
      </c>
      <c r="I310" s="4">
        <v>12.0</v>
      </c>
      <c r="J310" s="4">
        <v>38.92511516</v>
      </c>
      <c r="K310" s="4">
        <v>-77.02225829</v>
      </c>
      <c r="L310" s="4">
        <v>0.0</v>
      </c>
      <c r="M310" s="4">
        <v>2.0</v>
      </c>
      <c r="N310" s="4">
        <v>10.0</v>
      </c>
      <c r="O310" s="4">
        <v>0.0</v>
      </c>
      <c r="P310" s="4">
        <v>0.0</v>
      </c>
      <c r="Q310" s="5"/>
      <c r="R310" s="4">
        <v>229519.0</v>
      </c>
      <c r="S310" s="4">
        <v>398065.45</v>
      </c>
      <c r="T310" s="4">
        <v>139703.03</v>
      </c>
      <c r="U310" s="5" t="s">
        <v>1265</v>
      </c>
      <c r="V310" s="5" t="s">
        <v>36</v>
      </c>
      <c r="W310" s="4">
        <v>0.0</v>
      </c>
      <c r="X310" s="4">
        <v>0.0</v>
      </c>
      <c r="Y310" s="4">
        <v>12.0</v>
      </c>
      <c r="Z310" s="4">
        <v>12.0</v>
      </c>
      <c r="AA310" s="4">
        <v>81.0</v>
      </c>
      <c r="AB310" s="4">
        <v>93.0</v>
      </c>
      <c r="AC310" s="5" t="s">
        <v>1266</v>
      </c>
      <c r="AD310" s="5"/>
      <c r="AE310" s="7" t="s">
        <v>50</v>
      </c>
    </row>
    <row r="311">
      <c r="A311" s="4">
        <v>-8572660.3406</v>
      </c>
      <c r="B311" s="4">
        <v>4703628.1274</v>
      </c>
      <c r="C311" s="4">
        <v>362222.0</v>
      </c>
      <c r="D311" s="5" t="s">
        <v>39</v>
      </c>
      <c r="E311" s="5" t="s">
        <v>1267</v>
      </c>
      <c r="F311" s="5" t="s">
        <v>1268</v>
      </c>
      <c r="G311" s="5" t="s">
        <v>33</v>
      </c>
      <c r="H311" s="5" t="s">
        <v>34</v>
      </c>
      <c r="I311" s="4">
        <v>25.0</v>
      </c>
      <c r="J311" s="4">
        <v>38.87348298</v>
      </c>
      <c r="K311" s="4">
        <v>-77.00959077</v>
      </c>
      <c r="L311" s="4">
        <v>0.0</v>
      </c>
      <c r="M311" s="4">
        <v>1.0</v>
      </c>
      <c r="N311" s="4">
        <v>24.0</v>
      </c>
      <c r="O311" s="4">
        <v>0.0</v>
      </c>
      <c r="P311" s="4">
        <v>0.0</v>
      </c>
      <c r="Q311" s="5"/>
      <c r="R311" s="4">
        <v>310170.0</v>
      </c>
      <c r="S311" s="4">
        <v>399174.26</v>
      </c>
      <c r="T311" s="4">
        <v>134009.69</v>
      </c>
      <c r="U311" s="5" t="s">
        <v>1269</v>
      </c>
      <c r="V311" s="5" t="s">
        <v>36</v>
      </c>
      <c r="W311" s="4">
        <v>0.0</v>
      </c>
      <c r="X311" s="4">
        <v>0.0</v>
      </c>
      <c r="Y311" s="4">
        <v>25.0</v>
      </c>
      <c r="Z311" s="4">
        <v>25.0</v>
      </c>
      <c r="AA311" s="4">
        <v>285.0</v>
      </c>
      <c r="AB311" s="4">
        <v>310.0</v>
      </c>
      <c r="AC311" s="5" t="s">
        <v>1270</v>
      </c>
      <c r="AD311" s="5"/>
      <c r="AE311" s="7" t="s">
        <v>50</v>
      </c>
    </row>
    <row r="312">
      <c r="A312" s="4">
        <v>-8568504.9062</v>
      </c>
      <c r="B312" s="4">
        <v>4708137.8682</v>
      </c>
      <c r="C312" s="4">
        <v>362223.0</v>
      </c>
      <c r="D312" s="5" t="s">
        <v>56</v>
      </c>
      <c r="E312" s="5" t="s">
        <v>1271</v>
      </c>
      <c r="F312" s="5" t="s">
        <v>1272</v>
      </c>
      <c r="G312" s="5" t="s">
        <v>310</v>
      </c>
      <c r="H312" s="5" t="s">
        <v>42</v>
      </c>
      <c r="I312" s="4">
        <v>92.0</v>
      </c>
      <c r="J312" s="4">
        <v>38.9053962</v>
      </c>
      <c r="K312" s="4">
        <v>-76.97195347</v>
      </c>
      <c r="L312" s="4">
        <v>24.0</v>
      </c>
      <c r="M312" s="4">
        <v>58.0</v>
      </c>
      <c r="N312" s="4">
        <v>0.0</v>
      </c>
      <c r="O312" s="4">
        <v>10.0</v>
      </c>
      <c r="P312" s="4">
        <v>0.0</v>
      </c>
      <c r="Q312" s="5" t="s">
        <v>1273</v>
      </c>
      <c r="R312" s="4">
        <v>49906.0</v>
      </c>
      <c r="S312" s="4">
        <v>402412.43</v>
      </c>
      <c r="T312" s="4">
        <v>137510.37</v>
      </c>
      <c r="U312" s="5" t="s">
        <v>1274</v>
      </c>
      <c r="V312" s="5" t="s">
        <v>36</v>
      </c>
      <c r="W312" s="4">
        <v>0.0</v>
      </c>
      <c r="X312" s="4">
        <v>0.0</v>
      </c>
      <c r="Y312" s="4">
        <v>92.0</v>
      </c>
      <c r="Z312" s="4">
        <v>92.0</v>
      </c>
      <c r="AA312" s="4">
        <v>0.0</v>
      </c>
      <c r="AB312" s="4">
        <v>92.0</v>
      </c>
      <c r="AC312" s="5"/>
      <c r="AD312" s="5"/>
      <c r="AE312" s="5" t="s">
        <v>870</v>
      </c>
    </row>
    <row r="313">
      <c r="A313" s="4">
        <v>-8569993.5275</v>
      </c>
      <c r="B313" s="4">
        <v>4708753.0855</v>
      </c>
      <c r="C313" s="4">
        <v>362225.0</v>
      </c>
      <c r="D313" s="5" t="s">
        <v>56</v>
      </c>
      <c r="E313" s="5" t="s">
        <v>1275</v>
      </c>
      <c r="F313" s="5" t="s">
        <v>1276</v>
      </c>
      <c r="G313" s="5" t="s">
        <v>33</v>
      </c>
      <c r="H313" s="5" t="s">
        <v>34</v>
      </c>
      <c r="I313" s="4">
        <v>1.0</v>
      </c>
      <c r="J313" s="4">
        <v>38.90974827</v>
      </c>
      <c r="K313" s="4">
        <v>-76.98555943</v>
      </c>
      <c r="L313" s="4">
        <v>0.0</v>
      </c>
      <c r="M313" s="4">
        <v>0.0</v>
      </c>
      <c r="N313" s="4">
        <v>0.0</v>
      </c>
      <c r="O313" s="4">
        <v>1.0</v>
      </c>
      <c r="P313" s="4">
        <v>0.0</v>
      </c>
      <c r="Q313" s="5"/>
      <c r="R313" s="4">
        <v>56818.0</v>
      </c>
      <c r="S313" s="4">
        <v>401252.46</v>
      </c>
      <c r="T313" s="4">
        <v>137987.5</v>
      </c>
      <c r="U313" s="5" t="s">
        <v>1277</v>
      </c>
      <c r="V313" s="5" t="s">
        <v>36</v>
      </c>
      <c r="W313" s="4">
        <v>0.0</v>
      </c>
      <c r="X313" s="4">
        <v>0.0</v>
      </c>
      <c r="Y313" s="4">
        <v>1.0</v>
      </c>
      <c r="Z313" s="4">
        <v>1.0</v>
      </c>
      <c r="AA313" s="4">
        <v>6.0</v>
      </c>
      <c r="AB313" s="4">
        <v>7.0</v>
      </c>
      <c r="AC313" s="5" t="s">
        <v>1278</v>
      </c>
      <c r="AD313" s="5"/>
      <c r="AE313" s="7" t="s">
        <v>50</v>
      </c>
    </row>
    <row r="314">
      <c r="A314" s="4">
        <v>-8570881.9262</v>
      </c>
      <c r="B314" s="4">
        <v>4713217.0009</v>
      </c>
      <c r="C314" s="4">
        <v>362226.0</v>
      </c>
      <c r="D314" s="5" t="s">
        <v>56</v>
      </c>
      <c r="E314" s="5" t="s">
        <v>1279</v>
      </c>
      <c r="F314" s="5" t="s">
        <v>1280</v>
      </c>
      <c r="G314" s="5" t="s">
        <v>33</v>
      </c>
      <c r="H314" s="5" t="s">
        <v>34</v>
      </c>
      <c r="I314" s="4">
        <v>1.0</v>
      </c>
      <c r="J314" s="4">
        <v>38.94093514</v>
      </c>
      <c r="K314" s="4">
        <v>-76.99353416</v>
      </c>
      <c r="L314" s="4">
        <v>0.0</v>
      </c>
      <c r="M314" s="4">
        <v>0.0</v>
      </c>
      <c r="N314" s="4">
        <v>0.0</v>
      </c>
      <c r="O314" s="4">
        <v>1.0</v>
      </c>
      <c r="P314" s="4">
        <v>0.0</v>
      </c>
      <c r="Q314" s="5"/>
      <c r="R314" s="4">
        <v>81005.0</v>
      </c>
      <c r="S314" s="4">
        <v>400560.04</v>
      </c>
      <c r="T314" s="4">
        <v>141450.49</v>
      </c>
      <c r="U314" s="5" t="s">
        <v>1281</v>
      </c>
      <c r="V314" s="5" t="s">
        <v>36</v>
      </c>
      <c r="W314" s="4">
        <v>0.0</v>
      </c>
      <c r="X314" s="4">
        <v>0.0</v>
      </c>
      <c r="Y314" s="4">
        <v>1.0</v>
      </c>
      <c r="Z314" s="4">
        <v>1.0</v>
      </c>
      <c r="AA314" s="4">
        <v>7.0</v>
      </c>
      <c r="AB314" s="4">
        <v>8.0</v>
      </c>
      <c r="AC314" s="5" t="s">
        <v>1282</v>
      </c>
      <c r="AD314" s="5"/>
      <c r="AE314" s="7" t="s">
        <v>50</v>
      </c>
    </row>
    <row r="315">
      <c r="A315" s="4">
        <v>-8570899.903</v>
      </c>
      <c r="B315" s="4">
        <v>4713215.9578</v>
      </c>
      <c r="C315" s="4">
        <v>362227.0</v>
      </c>
      <c r="D315" s="5" t="s">
        <v>56</v>
      </c>
      <c r="E315" s="5" t="s">
        <v>1283</v>
      </c>
      <c r="F315" s="5" t="s">
        <v>1284</v>
      </c>
      <c r="G315" s="5" t="s">
        <v>33</v>
      </c>
      <c r="H315" s="5" t="s">
        <v>34</v>
      </c>
      <c r="I315" s="4">
        <v>1.0</v>
      </c>
      <c r="J315" s="4">
        <v>38.94093821</v>
      </c>
      <c r="K315" s="4">
        <v>-76.99371134</v>
      </c>
      <c r="L315" s="4">
        <v>0.0</v>
      </c>
      <c r="M315" s="4">
        <v>0.0</v>
      </c>
      <c r="N315" s="4">
        <v>0.0</v>
      </c>
      <c r="O315" s="4">
        <v>1.0</v>
      </c>
      <c r="P315" s="4">
        <v>0.0</v>
      </c>
      <c r="Q315" s="5"/>
      <c r="R315" s="4">
        <v>80859.0</v>
      </c>
      <c r="S315" s="4">
        <v>400546.04</v>
      </c>
      <c r="T315" s="4">
        <v>141449.68</v>
      </c>
      <c r="U315" s="5" t="s">
        <v>1285</v>
      </c>
      <c r="V315" s="5" t="s">
        <v>36</v>
      </c>
      <c r="W315" s="4">
        <v>0.0</v>
      </c>
      <c r="X315" s="4">
        <v>0.0</v>
      </c>
      <c r="Y315" s="4">
        <v>1.0</v>
      </c>
      <c r="Z315" s="4">
        <v>1.0</v>
      </c>
      <c r="AA315" s="4">
        <v>7.0</v>
      </c>
      <c r="AB315" s="4">
        <v>8.0</v>
      </c>
      <c r="AC315" s="5" t="s">
        <v>1286</v>
      </c>
      <c r="AD315" s="5"/>
      <c r="AE315" s="7" t="s">
        <v>50</v>
      </c>
    </row>
    <row r="316">
      <c r="A316" s="4">
        <v>-8570584.9684</v>
      </c>
      <c r="B316" s="4">
        <v>4710593.1118</v>
      </c>
      <c r="C316" s="4">
        <v>362228.0</v>
      </c>
      <c r="D316" s="5" t="s">
        <v>56</v>
      </c>
      <c r="E316" s="5" t="s">
        <v>1287</v>
      </c>
      <c r="F316" s="5" t="s">
        <v>1288</v>
      </c>
      <c r="G316" s="5" t="s">
        <v>33</v>
      </c>
      <c r="H316" s="5" t="s">
        <v>34</v>
      </c>
      <c r="I316" s="4">
        <v>1.0</v>
      </c>
      <c r="J316" s="4">
        <v>38.92264063</v>
      </c>
      <c r="K316" s="4">
        <v>-76.99088845</v>
      </c>
      <c r="L316" s="4">
        <v>0.0</v>
      </c>
      <c r="M316" s="4">
        <v>0.0</v>
      </c>
      <c r="N316" s="4">
        <v>1.0</v>
      </c>
      <c r="O316" s="4">
        <v>0.0</v>
      </c>
      <c r="P316" s="4">
        <v>0.0</v>
      </c>
      <c r="Q316" s="5"/>
      <c r="R316" s="4">
        <v>75855.0</v>
      </c>
      <c r="S316" s="4">
        <v>400791.51</v>
      </c>
      <c r="T316" s="4">
        <v>139415.1</v>
      </c>
      <c r="U316" s="5" t="s">
        <v>1289</v>
      </c>
      <c r="V316" s="5" t="s">
        <v>36</v>
      </c>
      <c r="W316" s="4">
        <v>0.0</v>
      </c>
      <c r="X316" s="4">
        <v>0.0</v>
      </c>
      <c r="Y316" s="4">
        <v>1.0</v>
      </c>
      <c r="Z316" s="4">
        <v>1.0</v>
      </c>
      <c r="AA316" s="4">
        <v>7.0</v>
      </c>
      <c r="AB316" s="4">
        <v>8.0</v>
      </c>
      <c r="AC316" s="5" t="s">
        <v>1290</v>
      </c>
      <c r="AD316" s="5"/>
      <c r="AE316" s="7" t="s">
        <v>50</v>
      </c>
    </row>
    <row r="317">
      <c r="A317" s="4">
        <v>-8576037.0063</v>
      </c>
      <c r="B317" s="4">
        <v>4710451.7982</v>
      </c>
      <c r="C317" s="4">
        <v>362231.0</v>
      </c>
      <c r="D317" s="5" t="s">
        <v>114</v>
      </c>
      <c r="E317" s="5" t="s">
        <v>1291</v>
      </c>
      <c r="F317" s="5" t="s">
        <v>1292</v>
      </c>
      <c r="G317" s="5" t="s">
        <v>33</v>
      </c>
      <c r="H317" s="5" t="s">
        <v>34</v>
      </c>
      <c r="I317" s="4">
        <v>53.0</v>
      </c>
      <c r="J317" s="4">
        <v>38.92161256</v>
      </c>
      <c r="K317" s="4">
        <v>-77.03982572</v>
      </c>
      <c r="L317" s="4">
        <v>0.0</v>
      </c>
      <c r="M317" s="4">
        <v>7.0</v>
      </c>
      <c r="N317" s="4">
        <v>0.0</v>
      </c>
      <c r="O317" s="4">
        <v>46.0</v>
      </c>
      <c r="P317" s="4">
        <v>0.0</v>
      </c>
      <c r="Q317" s="5"/>
      <c r="R317" s="4">
        <v>235737.0</v>
      </c>
      <c r="S317" s="4">
        <v>396544.4</v>
      </c>
      <c r="T317" s="4">
        <v>139306.18</v>
      </c>
      <c r="U317" s="5" t="s">
        <v>1293</v>
      </c>
      <c r="V317" s="5" t="s">
        <v>36</v>
      </c>
      <c r="W317" s="4">
        <v>0.0</v>
      </c>
      <c r="X317" s="4">
        <v>53.0</v>
      </c>
      <c r="Y317" s="4">
        <v>0.0</v>
      </c>
      <c r="Z317" s="4">
        <v>53.0</v>
      </c>
      <c r="AA317" s="4">
        <v>1.0</v>
      </c>
      <c r="AB317" s="4">
        <v>54.0</v>
      </c>
      <c r="AC317" s="5" t="s">
        <v>154</v>
      </c>
      <c r="AD317" s="5"/>
      <c r="AE317" s="7" t="s">
        <v>50</v>
      </c>
    </row>
    <row r="318">
      <c r="A318" s="4">
        <v>-8574869.2868</v>
      </c>
      <c r="B318" s="4">
        <v>4715943.5306</v>
      </c>
      <c r="C318" s="4">
        <v>362232.0</v>
      </c>
      <c r="D318" s="5" t="s">
        <v>51</v>
      </c>
      <c r="E318" s="5" t="s">
        <v>1294</v>
      </c>
      <c r="F318" s="5" t="s">
        <v>1295</v>
      </c>
      <c r="G318" s="5" t="s">
        <v>33</v>
      </c>
      <c r="H318" s="5" t="s">
        <v>34</v>
      </c>
      <c r="I318" s="4">
        <v>18.0</v>
      </c>
      <c r="J318" s="4">
        <v>38.95999251</v>
      </c>
      <c r="K318" s="4">
        <v>-77.0293591</v>
      </c>
      <c r="L318" s="4">
        <v>0.0</v>
      </c>
      <c r="M318" s="4">
        <v>1.0</v>
      </c>
      <c r="N318" s="4">
        <v>0.0</v>
      </c>
      <c r="O318" s="4">
        <v>17.0</v>
      </c>
      <c r="P318" s="4">
        <v>0.0</v>
      </c>
      <c r="Q318" s="5"/>
      <c r="R318" s="4">
        <v>243481.0</v>
      </c>
      <c r="S318" s="4">
        <v>397455.42</v>
      </c>
      <c r="T318" s="4">
        <v>143565.36</v>
      </c>
      <c r="U318" s="5" t="s">
        <v>1296</v>
      </c>
      <c r="V318" s="5" t="s">
        <v>36</v>
      </c>
      <c r="W318" s="4">
        <v>0.0</v>
      </c>
      <c r="X318" s="4">
        <v>18.0</v>
      </c>
      <c r="Y318" s="4">
        <v>0.0</v>
      </c>
      <c r="Z318" s="4">
        <v>18.0</v>
      </c>
      <c r="AA318" s="4">
        <v>8.0</v>
      </c>
      <c r="AB318" s="4">
        <v>26.0</v>
      </c>
      <c r="AC318" s="5" t="s">
        <v>1297</v>
      </c>
      <c r="AD318" s="5"/>
      <c r="AE318" s="7" t="s">
        <v>50</v>
      </c>
    </row>
    <row r="319">
      <c r="A319" s="4">
        <v>-8568364.4584</v>
      </c>
      <c r="B319" s="4">
        <v>4702203.8129</v>
      </c>
      <c r="C319" s="4">
        <v>362235.0</v>
      </c>
      <c r="D319" s="5" t="s">
        <v>45</v>
      </c>
      <c r="E319" s="5" t="s">
        <v>1298</v>
      </c>
      <c r="F319" s="5" t="s">
        <v>1299</v>
      </c>
      <c r="G319" s="5" t="s">
        <v>33</v>
      </c>
      <c r="H319" s="5" t="s">
        <v>34</v>
      </c>
      <c r="I319" s="4">
        <v>53.0</v>
      </c>
      <c r="J319" s="4">
        <v>38.86395333</v>
      </c>
      <c r="K319" s="4">
        <v>-76.97092526</v>
      </c>
      <c r="L319" s="4">
        <v>14.0</v>
      </c>
      <c r="M319" s="4">
        <v>32.0</v>
      </c>
      <c r="N319" s="4">
        <v>0.0</v>
      </c>
      <c r="O319" s="4">
        <v>7.0</v>
      </c>
      <c r="P319" s="4">
        <v>0.0</v>
      </c>
      <c r="Q319" s="5"/>
      <c r="R319" s="4">
        <v>46075.0</v>
      </c>
      <c r="S319" s="4">
        <v>402523.33</v>
      </c>
      <c r="T319" s="4">
        <v>132904.21</v>
      </c>
      <c r="U319" s="5" t="s">
        <v>1300</v>
      </c>
      <c r="V319" s="5" t="s">
        <v>36</v>
      </c>
      <c r="W319" s="4">
        <v>0.0</v>
      </c>
      <c r="X319" s="4">
        <v>53.0</v>
      </c>
      <c r="Y319" s="4">
        <v>0.0</v>
      </c>
      <c r="Z319" s="4">
        <v>53.0</v>
      </c>
      <c r="AA319" s="4">
        <v>0.0</v>
      </c>
      <c r="AB319" s="4">
        <v>53.0</v>
      </c>
      <c r="AC319" s="5" t="s">
        <v>1301</v>
      </c>
      <c r="AD319" s="5"/>
      <c r="AE319" s="7" t="s">
        <v>50</v>
      </c>
    </row>
    <row r="320">
      <c r="A320" s="4">
        <v>-8569124.5294</v>
      </c>
      <c r="B320" s="4">
        <v>4703304.6146</v>
      </c>
      <c r="C320" s="4">
        <v>362237.0</v>
      </c>
      <c r="D320" s="5" t="s">
        <v>45</v>
      </c>
      <c r="E320" s="5" t="s">
        <v>1302</v>
      </c>
      <c r="F320" s="5" t="s">
        <v>1303</v>
      </c>
      <c r="G320" s="5" t="s">
        <v>33</v>
      </c>
      <c r="H320" s="5" t="s">
        <v>34</v>
      </c>
      <c r="I320" s="4">
        <v>36.0</v>
      </c>
      <c r="J320" s="4">
        <v>38.87162088</v>
      </c>
      <c r="K320" s="4">
        <v>-76.97766702</v>
      </c>
      <c r="L320" s="4">
        <v>0.0</v>
      </c>
      <c r="M320" s="4">
        <v>0.0</v>
      </c>
      <c r="N320" s="4">
        <v>0.0</v>
      </c>
      <c r="O320" s="4">
        <v>36.0</v>
      </c>
      <c r="P320" s="4">
        <v>0.0</v>
      </c>
      <c r="Q320" s="5"/>
      <c r="R320" s="4">
        <v>150045.0</v>
      </c>
      <c r="S320" s="4">
        <v>401930.55</v>
      </c>
      <c r="T320" s="4">
        <v>133758.72</v>
      </c>
      <c r="U320" s="5" t="s">
        <v>1304</v>
      </c>
      <c r="V320" s="5" t="s">
        <v>36</v>
      </c>
      <c r="W320" s="4">
        <v>0.0</v>
      </c>
      <c r="X320" s="4">
        <v>36.0</v>
      </c>
      <c r="Y320" s="4">
        <v>0.0</v>
      </c>
      <c r="Z320" s="4">
        <v>36.0</v>
      </c>
      <c r="AA320" s="4">
        <v>0.0</v>
      </c>
      <c r="AB320" s="4">
        <v>36.0</v>
      </c>
      <c r="AC320" s="5" t="s">
        <v>1305</v>
      </c>
      <c r="AD320" s="5"/>
      <c r="AE320" s="7" t="s">
        <v>50</v>
      </c>
    </row>
    <row r="321">
      <c r="A321" s="4">
        <v>-8571630.1967</v>
      </c>
      <c r="B321" s="4">
        <v>4709903.8003</v>
      </c>
      <c r="C321" s="4">
        <v>362239.0</v>
      </c>
      <c r="D321" s="5" t="s">
        <v>56</v>
      </c>
      <c r="E321" s="5" t="s">
        <v>1306</v>
      </c>
      <c r="F321" s="5" t="s">
        <v>1307</v>
      </c>
      <c r="G321" s="5" t="s">
        <v>33</v>
      </c>
      <c r="H321" s="5" t="s">
        <v>34</v>
      </c>
      <c r="I321" s="4">
        <v>5.0</v>
      </c>
      <c r="J321" s="4">
        <v>38.91779315</v>
      </c>
      <c r="K321" s="4">
        <v>-77.00024504</v>
      </c>
      <c r="L321" s="4">
        <v>4.0</v>
      </c>
      <c r="M321" s="4">
        <v>1.0</v>
      </c>
      <c r="N321" s="4">
        <v>0.0</v>
      </c>
      <c r="O321" s="4">
        <v>0.0</v>
      </c>
      <c r="P321" s="4">
        <v>0.0</v>
      </c>
      <c r="Q321" s="5"/>
      <c r="R321" s="4">
        <v>52591.0</v>
      </c>
      <c r="S321" s="4">
        <v>399977.29</v>
      </c>
      <c r="T321" s="4">
        <v>138880.26</v>
      </c>
      <c r="U321" s="5" t="s">
        <v>1308</v>
      </c>
      <c r="V321" s="5" t="s">
        <v>36</v>
      </c>
      <c r="W321" s="4">
        <v>5.0</v>
      </c>
      <c r="X321" s="4">
        <v>0.0</v>
      </c>
      <c r="Y321" s="4">
        <v>0.0</v>
      </c>
      <c r="Z321" s="4">
        <v>0.0</v>
      </c>
      <c r="AA321" s="4">
        <v>0.0</v>
      </c>
      <c r="AB321" s="4">
        <v>5.0</v>
      </c>
      <c r="AC321" s="5" t="s">
        <v>1309</v>
      </c>
      <c r="AD321" s="5"/>
      <c r="AE321" s="7" t="s">
        <v>50</v>
      </c>
    </row>
    <row r="322">
      <c r="A322" s="4">
        <v>-8571097.7636</v>
      </c>
      <c r="B322" s="4">
        <v>4701207.7716</v>
      </c>
      <c r="C322" s="4">
        <v>362243.0</v>
      </c>
      <c r="D322" s="5" t="s">
        <v>45</v>
      </c>
      <c r="E322" s="5" t="s">
        <v>1310</v>
      </c>
      <c r="F322" s="5" t="s">
        <v>1311</v>
      </c>
      <c r="G322" s="5" t="s">
        <v>33</v>
      </c>
      <c r="H322" s="5" t="s">
        <v>34</v>
      </c>
      <c r="I322" s="4">
        <v>67.0</v>
      </c>
      <c r="J322" s="4">
        <v>38.85698606</v>
      </c>
      <c r="K322" s="4">
        <v>-76.99547895</v>
      </c>
      <c r="L322" s="4">
        <v>9.0</v>
      </c>
      <c r="M322" s="4">
        <v>56.0</v>
      </c>
      <c r="N322" s="4">
        <v>2.0</v>
      </c>
      <c r="O322" s="4">
        <v>0.0</v>
      </c>
      <c r="P322" s="4">
        <v>0.0</v>
      </c>
      <c r="Q322" s="5"/>
      <c r="R322" s="4">
        <v>278211.0</v>
      </c>
      <c r="S322" s="4">
        <v>400392.41</v>
      </c>
      <c r="T322" s="4">
        <v>132130.4</v>
      </c>
      <c r="U322" s="5" t="s">
        <v>1312</v>
      </c>
      <c r="V322" s="5" t="s">
        <v>36</v>
      </c>
      <c r="W322" s="4">
        <v>0.0</v>
      </c>
      <c r="X322" s="4">
        <v>67.0</v>
      </c>
      <c r="Y322" s="4">
        <v>0.0</v>
      </c>
      <c r="Z322" s="4">
        <v>67.0</v>
      </c>
      <c r="AA322" s="4">
        <v>43.0</v>
      </c>
      <c r="AB322" s="4">
        <v>110.0</v>
      </c>
      <c r="AC322" s="5" t="s">
        <v>1313</v>
      </c>
      <c r="AD322" s="5"/>
      <c r="AE322" s="7" t="s">
        <v>50</v>
      </c>
    </row>
    <row r="323">
      <c r="A323" s="4">
        <v>-8572560.4994</v>
      </c>
      <c r="B323" s="4">
        <v>4704337.1362</v>
      </c>
      <c r="C323" s="4">
        <v>362248.0</v>
      </c>
      <c r="D323" s="5" t="s">
        <v>39</v>
      </c>
      <c r="E323" s="5" t="s">
        <v>1314</v>
      </c>
      <c r="F323" s="5" t="s">
        <v>1315</v>
      </c>
      <c r="G323" s="5" t="s">
        <v>33</v>
      </c>
      <c r="H323" s="5" t="s">
        <v>374</v>
      </c>
      <c r="I323" s="4">
        <v>24.0</v>
      </c>
      <c r="J323" s="4">
        <v>38.87887356</v>
      </c>
      <c r="K323" s="4">
        <v>-77.00861892</v>
      </c>
      <c r="L323" s="4">
        <v>0.0</v>
      </c>
      <c r="M323" s="4">
        <v>0.0</v>
      </c>
      <c r="N323" s="4">
        <v>0.0</v>
      </c>
      <c r="O323" s="4">
        <v>24.0</v>
      </c>
      <c r="P323" s="4">
        <v>0.0</v>
      </c>
      <c r="Q323" s="5" t="s">
        <v>1316</v>
      </c>
      <c r="R323" s="4">
        <v>82885.0</v>
      </c>
      <c r="S323" s="4">
        <v>399252.14</v>
      </c>
      <c r="T323" s="4">
        <v>134560.1</v>
      </c>
      <c r="U323" s="5" t="s">
        <v>1317</v>
      </c>
      <c r="V323" s="5" t="s">
        <v>36</v>
      </c>
      <c r="W323" s="4">
        <v>0.0</v>
      </c>
      <c r="X323" s="4">
        <v>0.0</v>
      </c>
      <c r="Y323" s="4">
        <v>24.0</v>
      </c>
      <c r="Z323" s="4">
        <v>24.0</v>
      </c>
      <c r="AA323" s="4">
        <v>0.0</v>
      </c>
      <c r="AB323" s="4">
        <v>24.0</v>
      </c>
      <c r="AC323" s="5" t="s">
        <v>1318</v>
      </c>
      <c r="AD323" s="5"/>
      <c r="AE323" s="5"/>
    </row>
    <row r="324">
      <c r="A324" s="4">
        <v>-8569258.1667</v>
      </c>
      <c r="B324" s="4">
        <v>4711432.7584</v>
      </c>
      <c r="C324" s="4">
        <v>362249.0</v>
      </c>
      <c r="D324" s="5" t="s">
        <v>56</v>
      </c>
      <c r="E324" s="5" t="s">
        <v>1319</v>
      </c>
      <c r="F324" s="5" t="s">
        <v>1320</v>
      </c>
      <c r="G324" s="5" t="s">
        <v>310</v>
      </c>
      <c r="H324" s="5"/>
      <c r="I324" s="4">
        <v>70.0</v>
      </c>
      <c r="J324" s="4">
        <v>38.92847668</v>
      </c>
      <c r="K324" s="4">
        <v>-76.97895357</v>
      </c>
      <c r="L324" s="4">
        <v>0.0</v>
      </c>
      <c r="M324" s="4">
        <v>70.0</v>
      </c>
      <c r="N324" s="4">
        <v>0.0</v>
      </c>
      <c r="O324" s="4">
        <v>0.0</v>
      </c>
      <c r="P324" s="4">
        <v>0.0</v>
      </c>
      <c r="Q324" s="5" t="s">
        <v>1321</v>
      </c>
      <c r="R324" s="4">
        <v>56145.0</v>
      </c>
      <c r="S324" s="4">
        <v>401824.92</v>
      </c>
      <c r="T324" s="4">
        <v>140066.66</v>
      </c>
      <c r="U324" s="5" t="s">
        <v>1322</v>
      </c>
      <c r="V324" s="5" t="s">
        <v>36</v>
      </c>
      <c r="W324" s="4">
        <v>0.0</v>
      </c>
      <c r="X324" s="4">
        <v>0.0</v>
      </c>
      <c r="Y324" s="4">
        <v>70.0</v>
      </c>
      <c r="Z324" s="4">
        <v>70.0</v>
      </c>
      <c r="AA324" s="4">
        <v>0.0</v>
      </c>
      <c r="AB324" s="4">
        <v>70.0</v>
      </c>
      <c r="AC324" s="5"/>
      <c r="AD324" s="5"/>
      <c r="AE324" s="7" t="s">
        <v>1323</v>
      </c>
    </row>
    <row r="325">
      <c r="A325" s="4">
        <v>-8573587.0309</v>
      </c>
      <c r="B325" s="4">
        <v>4718411.1643</v>
      </c>
      <c r="C325" s="4">
        <v>362250.0</v>
      </c>
      <c r="D325" s="5" t="s">
        <v>51</v>
      </c>
      <c r="E325" s="5" t="s">
        <v>1324</v>
      </c>
      <c r="F325" s="5" t="s">
        <v>1325</v>
      </c>
      <c r="G325" s="5" t="s">
        <v>310</v>
      </c>
      <c r="H325" s="5" t="s">
        <v>374</v>
      </c>
      <c r="I325" s="4">
        <v>124.0</v>
      </c>
      <c r="J325" s="4">
        <v>38.97722724</v>
      </c>
      <c r="K325" s="4">
        <v>-77.0178404</v>
      </c>
      <c r="L325" s="4">
        <v>8.0</v>
      </c>
      <c r="M325" s="4">
        <v>54.0</v>
      </c>
      <c r="N325" s="4">
        <v>44.0</v>
      </c>
      <c r="O325" s="4">
        <v>18.0</v>
      </c>
      <c r="P325" s="4">
        <v>0.0</v>
      </c>
      <c r="Q325" s="5" t="s">
        <v>1326</v>
      </c>
      <c r="R325" s="4">
        <v>245138.0</v>
      </c>
      <c r="S325" s="4">
        <v>398454.13</v>
      </c>
      <c r="T325" s="4">
        <v>145478.32</v>
      </c>
      <c r="U325" s="5" t="s">
        <v>1327</v>
      </c>
      <c r="V325" s="5" t="s">
        <v>36</v>
      </c>
      <c r="W325" s="4">
        <v>36.0</v>
      </c>
      <c r="X325" s="4">
        <v>0.0</v>
      </c>
      <c r="Y325" s="4">
        <v>88.0</v>
      </c>
      <c r="Z325" s="4">
        <v>88.0</v>
      </c>
      <c r="AA325" s="4">
        <v>0.0</v>
      </c>
      <c r="AB325" s="4">
        <v>124.0</v>
      </c>
      <c r="AC325" s="5"/>
      <c r="AD325" s="5"/>
      <c r="AE325" s="10" t="s">
        <v>870</v>
      </c>
    </row>
    <row r="326">
      <c r="A326" s="4">
        <v>-8572355.2072</v>
      </c>
      <c r="B326" s="4">
        <v>4709231.5711</v>
      </c>
      <c r="C326" s="4">
        <v>362251.0</v>
      </c>
      <c r="D326" s="5" t="s">
        <v>56</v>
      </c>
      <c r="E326" s="5" t="s">
        <v>1328</v>
      </c>
      <c r="F326" s="5" t="s">
        <v>1329</v>
      </c>
      <c r="G326" s="5" t="s">
        <v>310</v>
      </c>
      <c r="H326" s="5" t="s">
        <v>374</v>
      </c>
      <c r="I326" s="4">
        <v>4.0</v>
      </c>
      <c r="J326" s="4">
        <v>38.91309286</v>
      </c>
      <c r="K326" s="4">
        <v>-77.00677475</v>
      </c>
      <c r="L326" s="4">
        <v>0.0</v>
      </c>
      <c r="M326" s="4">
        <v>0.0</v>
      </c>
      <c r="N326" s="4">
        <v>0.0</v>
      </c>
      <c r="O326" s="4">
        <v>4.0</v>
      </c>
      <c r="P326" s="4">
        <v>0.0</v>
      </c>
      <c r="Q326" s="5" t="s">
        <v>1330</v>
      </c>
      <c r="R326" s="4">
        <v>57796.0</v>
      </c>
      <c r="S326" s="4">
        <v>399412.44</v>
      </c>
      <c r="T326" s="4">
        <v>138358.7</v>
      </c>
      <c r="U326" s="5" t="s">
        <v>1331</v>
      </c>
      <c r="V326" s="5" t="s">
        <v>36</v>
      </c>
      <c r="W326" s="4">
        <v>0.0</v>
      </c>
      <c r="X326" s="4">
        <v>0.0</v>
      </c>
      <c r="Y326" s="4">
        <v>4.0</v>
      </c>
      <c r="Z326" s="4">
        <v>4.0</v>
      </c>
      <c r="AA326" s="4">
        <v>22.0</v>
      </c>
      <c r="AB326" s="4">
        <v>26.0</v>
      </c>
      <c r="AC326" s="5"/>
      <c r="AD326" s="5"/>
      <c r="AE326" s="10" t="s">
        <v>870</v>
      </c>
    </row>
    <row r="327">
      <c r="A327" s="4">
        <v>-8575714.2123</v>
      </c>
      <c r="B327" s="4">
        <v>4709001.2975</v>
      </c>
      <c r="C327" s="4">
        <v>362252.0</v>
      </c>
      <c r="D327" s="5" t="s">
        <v>442</v>
      </c>
      <c r="E327" s="5" t="s">
        <v>1332</v>
      </c>
      <c r="F327" s="5" t="s">
        <v>1333</v>
      </c>
      <c r="G327" s="5" t="s">
        <v>33</v>
      </c>
      <c r="H327" s="5" t="s">
        <v>1334</v>
      </c>
      <c r="I327" s="4">
        <v>63.0</v>
      </c>
      <c r="J327" s="4">
        <v>38.91148336</v>
      </c>
      <c r="K327" s="4">
        <v>-77.03696234</v>
      </c>
      <c r="L327" s="4">
        <v>0.0</v>
      </c>
      <c r="M327" s="4">
        <v>0.0</v>
      </c>
      <c r="N327" s="4">
        <v>31.0</v>
      </c>
      <c r="O327" s="4">
        <v>32.0</v>
      </c>
      <c r="P327" s="4">
        <v>0.0</v>
      </c>
      <c r="Q327" s="5"/>
      <c r="R327" s="4">
        <v>243308.0</v>
      </c>
      <c r="S327" s="4">
        <v>396795.4</v>
      </c>
      <c r="T327" s="4">
        <v>138180.65</v>
      </c>
      <c r="U327" s="5" t="s">
        <v>1335</v>
      </c>
      <c r="V327" s="5" t="s">
        <v>36</v>
      </c>
      <c r="W327" s="4">
        <v>0.0</v>
      </c>
      <c r="X327" s="4">
        <v>63.0</v>
      </c>
      <c r="Y327" s="4">
        <v>0.0</v>
      </c>
      <c r="Z327" s="4">
        <v>63.0</v>
      </c>
      <c r="AA327" s="4">
        <v>0.0</v>
      </c>
      <c r="AB327" s="4">
        <v>63.0</v>
      </c>
      <c r="AC327" s="5" t="s">
        <v>1336</v>
      </c>
      <c r="AD327" s="5"/>
      <c r="AE327" s="10"/>
    </row>
    <row r="328">
      <c r="A328" s="4">
        <v>-8575579.8007</v>
      </c>
      <c r="B328" s="4">
        <v>4710840.8556</v>
      </c>
      <c r="C328" s="4">
        <v>362253.0</v>
      </c>
      <c r="D328" s="5" t="s">
        <v>114</v>
      </c>
      <c r="E328" s="5" t="s">
        <v>1337</v>
      </c>
      <c r="F328" s="5" t="s">
        <v>1338</v>
      </c>
      <c r="G328" s="5" t="s">
        <v>33</v>
      </c>
      <c r="H328" s="5" t="s">
        <v>1334</v>
      </c>
      <c r="I328" s="4">
        <v>77.0</v>
      </c>
      <c r="J328" s="4">
        <v>38.92434052</v>
      </c>
      <c r="K328" s="4">
        <v>-77.03574176</v>
      </c>
      <c r="L328" s="4">
        <v>0.0</v>
      </c>
      <c r="M328" s="4">
        <v>0.0</v>
      </c>
      <c r="N328" s="4">
        <v>27.0</v>
      </c>
      <c r="O328" s="4">
        <v>50.0</v>
      </c>
      <c r="P328" s="4">
        <v>0.0</v>
      </c>
      <c r="Q328" s="5"/>
      <c r="R328" s="4">
        <v>235840.0</v>
      </c>
      <c r="S328" s="4">
        <v>396900.68</v>
      </c>
      <c r="T328" s="4">
        <v>139607.87</v>
      </c>
      <c r="U328" s="5" t="s">
        <v>1339</v>
      </c>
      <c r="V328" s="5" t="s">
        <v>36</v>
      </c>
      <c r="W328" s="4">
        <v>0.0</v>
      </c>
      <c r="X328" s="4">
        <v>77.0</v>
      </c>
      <c r="Y328" s="4">
        <v>0.0</v>
      </c>
      <c r="Z328" s="4">
        <v>77.0</v>
      </c>
      <c r="AA328" s="4">
        <v>0.0</v>
      </c>
      <c r="AB328" s="4">
        <v>77.0</v>
      </c>
      <c r="AC328" s="5" t="s">
        <v>1340</v>
      </c>
      <c r="AD328" s="5"/>
      <c r="AE328" s="7" t="s">
        <v>50</v>
      </c>
    </row>
    <row r="329">
      <c r="A329" s="4">
        <v>-8575953.608</v>
      </c>
      <c r="B329" s="4">
        <v>4712085.6813</v>
      </c>
      <c r="C329" s="4">
        <v>362254.0</v>
      </c>
      <c r="D329" s="5" t="s">
        <v>114</v>
      </c>
      <c r="E329" s="5" t="s">
        <v>1341</v>
      </c>
      <c r="F329" s="5" t="s">
        <v>1342</v>
      </c>
      <c r="G329" s="5" t="s">
        <v>33</v>
      </c>
      <c r="H329" s="5" t="s">
        <v>1334</v>
      </c>
      <c r="I329" s="4">
        <v>96.0</v>
      </c>
      <c r="J329" s="4">
        <v>38.93303967</v>
      </c>
      <c r="K329" s="4">
        <v>-77.03909972</v>
      </c>
      <c r="L329" s="4">
        <v>0.0</v>
      </c>
      <c r="M329" s="4">
        <v>0.0</v>
      </c>
      <c r="N329" s="4">
        <v>33.0</v>
      </c>
      <c r="O329" s="4">
        <v>63.0</v>
      </c>
      <c r="P329" s="4">
        <v>0.0</v>
      </c>
      <c r="Q329" s="9"/>
      <c r="R329" s="4">
        <v>233668.0</v>
      </c>
      <c r="S329" s="4">
        <v>396609.91</v>
      </c>
      <c r="T329" s="4">
        <v>140573.67</v>
      </c>
      <c r="U329" s="5" t="s">
        <v>1343</v>
      </c>
      <c r="V329" s="5" t="s">
        <v>36</v>
      </c>
      <c r="W329" s="4">
        <v>0.0</v>
      </c>
      <c r="X329" s="4">
        <v>96.0</v>
      </c>
      <c r="Y329" s="4">
        <v>0.0</v>
      </c>
      <c r="Z329" s="4">
        <v>96.0</v>
      </c>
      <c r="AA329" s="4">
        <v>0.0</v>
      </c>
      <c r="AB329" s="4">
        <v>96.0</v>
      </c>
      <c r="AC329" s="5" t="s">
        <v>1340</v>
      </c>
      <c r="AD329" s="5"/>
      <c r="AE329" s="7" t="s">
        <v>50</v>
      </c>
    </row>
    <row r="330">
      <c r="A330" s="4">
        <v>-8569957.7348</v>
      </c>
      <c r="B330" s="4">
        <v>4705780.4829</v>
      </c>
      <c r="C330" s="4">
        <v>362257.0</v>
      </c>
      <c r="D330" s="5" t="s">
        <v>39</v>
      </c>
      <c r="E330" s="5" t="s">
        <v>1344</v>
      </c>
      <c r="F330" s="5" t="s">
        <v>1345</v>
      </c>
      <c r="G330" s="5" t="s">
        <v>33</v>
      </c>
      <c r="H330" s="5" t="s">
        <v>34</v>
      </c>
      <c r="I330" s="4">
        <v>6.0</v>
      </c>
      <c r="J330" s="4">
        <v>38.88896639</v>
      </c>
      <c r="K330" s="4">
        <v>-76.9852379</v>
      </c>
      <c r="L330" s="4">
        <v>0.0</v>
      </c>
      <c r="M330" s="4">
        <v>0.0</v>
      </c>
      <c r="N330" s="4">
        <v>0.0</v>
      </c>
      <c r="O330" s="4">
        <v>6.0</v>
      </c>
      <c r="P330" s="4">
        <v>0.0</v>
      </c>
      <c r="Q330" s="9"/>
      <c r="R330" s="4">
        <v>289719.0</v>
      </c>
      <c r="S330" s="4">
        <v>401280.72</v>
      </c>
      <c r="T330" s="4">
        <v>135680.55</v>
      </c>
      <c r="U330" s="5" t="s">
        <v>1346</v>
      </c>
      <c r="V330" s="5" t="s">
        <v>36</v>
      </c>
      <c r="W330" s="4">
        <v>0.0</v>
      </c>
      <c r="X330" s="4">
        <v>6.0</v>
      </c>
      <c r="Y330" s="4">
        <v>0.0</v>
      </c>
      <c r="Z330" s="4">
        <v>6.0</v>
      </c>
      <c r="AA330" s="4">
        <v>6.0</v>
      </c>
      <c r="AB330" s="4">
        <v>12.0</v>
      </c>
      <c r="AC330" s="5" t="s">
        <v>235</v>
      </c>
      <c r="AD330" s="5"/>
      <c r="AE330" s="7" t="s">
        <v>50</v>
      </c>
    </row>
    <row r="331">
      <c r="A331" s="4">
        <v>-8570634.7646</v>
      </c>
      <c r="B331" s="4">
        <v>4712076.761</v>
      </c>
      <c r="C331" s="4">
        <v>362258.0</v>
      </c>
      <c r="D331" s="5" t="s">
        <v>56</v>
      </c>
      <c r="E331" s="5" t="s">
        <v>1347</v>
      </c>
      <c r="F331" s="5" t="s">
        <v>1348</v>
      </c>
      <c r="G331" s="5" t="s">
        <v>310</v>
      </c>
      <c r="H331" s="5" t="s">
        <v>34</v>
      </c>
      <c r="I331" s="4">
        <v>70.0</v>
      </c>
      <c r="J331" s="4">
        <v>38.93267978</v>
      </c>
      <c r="K331" s="4">
        <v>-76.99120584</v>
      </c>
      <c r="L331" s="4">
        <v>18.0</v>
      </c>
      <c r="M331" s="4">
        <v>44.0</v>
      </c>
      <c r="N331" s="4">
        <v>0.0</v>
      </c>
      <c r="O331" s="4">
        <v>8.0</v>
      </c>
      <c r="P331" s="4">
        <v>0.0</v>
      </c>
      <c r="Q331" s="5"/>
      <c r="R331" s="4">
        <v>152279.0</v>
      </c>
      <c r="S331" s="4">
        <v>400752.61</v>
      </c>
      <c r="T331" s="4">
        <v>140566.06</v>
      </c>
      <c r="U331" s="5" t="s">
        <v>1349</v>
      </c>
      <c r="V331" s="5" t="s">
        <v>36</v>
      </c>
      <c r="W331" s="4">
        <v>0.0</v>
      </c>
      <c r="X331" s="4">
        <v>0.0</v>
      </c>
      <c r="Y331" s="4">
        <v>70.0</v>
      </c>
      <c r="Z331" s="4">
        <v>70.0</v>
      </c>
      <c r="AA331" s="4">
        <v>0.0</v>
      </c>
      <c r="AB331" s="4">
        <v>70.0</v>
      </c>
      <c r="AC331" s="5"/>
      <c r="AD331" s="5"/>
      <c r="AE331" s="7" t="s">
        <v>1138</v>
      </c>
    </row>
    <row r="332">
      <c r="A332" s="4">
        <v>-8577028.6835</v>
      </c>
      <c r="B332" s="4">
        <v>4709711.9417</v>
      </c>
      <c r="C332" s="4">
        <v>362259.0</v>
      </c>
      <c r="D332" s="5" t="s">
        <v>442</v>
      </c>
      <c r="E332" s="5" t="s">
        <v>1350</v>
      </c>
      <c r="F332" s="5" t="s">
        <v>1351</v>
      </c>
      <c r="G332" s="5" t="s">
        <v>310</v>
      </c>
      <c r="H332" s="5" t="s">
        <v>34</v>
      </c>
      <c r="I332" s="4">
        <v>23.0</v>
      </c>
      <c r="J332" s="4">
        <v>38.91645047</v>
      </c>
      <c r="K332" s="4">
        <v>-77.04875729</v>
      </c>
      <c r="L332" s="4">
        <v>3.0</v>
      </c>
      <c r="M332" s="4">
        <v>7.0</v>
      </c>
      <c r="N332" s="4">
        <v>6.0</v>
      </c>
      <c r="O332" s="4">
        <v>7.0</v>
      </c>
      <c r="P332" s="4">
        <v>0.0</v>
      </c>
      <c r="Q332" s="5"/>
      <c r="R332" s="4">
        <v>277151.0</v>
      </c>
      <c r="S332" s="4">
        <v>395771.58</v>
      </c>
      <c r="T332" s="4">
        <v>138732.53</v>
      </c>
      <c r="U332" s="5" t="s">
        <v>1352</v>
      </c>
      <c r="V332" s="5" t="s">
        <v>36</v>
      </c>
      <c r="W332" s="4">
        <v>7.0</v>
      </c>
      <c r="X332" s="4">
        <v>16.0</v>
      </c>
      <c r="Y332" s="4">
        <v>0.0</v>
      </c>
      <c r="Z332" s="4">
        <v>16.0</v>
      </c>
      <c r="AA332" s="4">
        <v>0.0</v>
      </c>
      <c r="AB332" s="4">
        <v>23.0</v>
      </c>
      <c r="AC332" s="5"/>
      <c r="AD332" s="5"/>
      <c r="AE332" s="10" t="s">
        <v>870</v>
      </c>
    </row>
    <row r="333">
      <c r="A333" s="4">
        <v>-8579720.4245</v>
      </c>
      <c r="B333" s="4">
        <v>4712018.2715</v>
      </c>
      <c r="C333" s="4">
        <v>362260.0</v>
      </c>
      <c r="D333" s="5" t="s">
        <v>341</v>
      </c>
      <c r="E333" s="5" t="s">
        <v>1353</v>
      </c>
      <c r="F333" s="5" t="s">
        <v>1354</v>
      </c>
      <c r="G333" s="5" t="s">
        <v>310</v>
      </c>
      <c r="H333" s="5" t="s">
        <v>34</v>
      </c>
      <c r="I333" s="4">
        <v>20.0</v>
      </c>
      <c r="J333" s="4">
        <v>38.93256829</v>
      </c>
      <c r="K333" s="4">
        <v>-77.0729376</v>
      </c>
      <c r="L333" s="4">
        <v>5.0</v>
      </c>
      <c r="M333" s="4">
        <v>12.0</v>
      </c>
      <c r="N333" s="4">
        <v>2.0</v>
      </c>
      <c r="O333" s="4">
        <v>1.0</v>
      </c>
      <c r="P333" s="4">
        <v>0.0</v>
      </c>
      <c r="Q333" s="5"/>
      <c r="R333" s="4">
        <v>221525.0</v>
      </c>
      <c r="S333" s="4">
        <v>393676.0</v>
      </c>
      <c r="T333" s="4">
        <v>140523.18</v>
      </c>
      <c r="U333" s="5" t="s">
        <v>1355</v>
      </c>
      <c r="V333" s="5" t="s">
        <v>36</v>
      </c>
      <c r="W333" s="4">
        <v>1.0</v>
      </c>
      <c r="X333" s="4">
        <v>19.0</v>
      </c>
      <c r="Y333" s="4">
        <v>0.0</v>
      </c>
      <c r="Z333" s="4">
        <v>19.0</v>
      </c>
      <c r="AA333" s="4">
        <v>0.0</v>
      </c>
      <c r="AB333" s="4">
        <v>20.0</v>
      </c>
      <c r="AC333" s="5"/>
      <c r="AD333" s="5"/>
      <c r="AE333" s="7" t="s">
        <v>1138</v>
      </c>
    </row>
    <row r="334">
      <c r="A334" s="4">
        <v>-8566661.4021</v>
      </c>
      <c r="B334" s="4">
        <v>4711000.8484</v>
      </c>
      <c r="C334" s="4">
        <v>362261.0</v>
      </c>
      <c r="D334" s="5" t="s">
        <v>56</v>
      </c>
      <c r="E334" s="5" t="s">
        <v>1356</v>
      </c>
      <c r="F334" s="5" t="s">
        <v>1357</v>
      </c>
      <c r="G334" s="5" t="s">
        <v>310</v>
      </c>
      <c r="H334" s="5" t="s">
        <v>34</v>
      </c>
      <c r="I334" s="4">
        <v>120.0</v>
      </c>
      <c r="J334" s="4">
        <v>38.92545865</v>
      </c>
      <c r="K334" s="4">
        <v>-76.95562644</v>
      </c>
      <c r="L334" s="4">
        <v>0.0</v>
      </c>
      <c r="M334" s="4">
        <v>91.0</v>
      </c>
      <c r="N334" s="4">
        <v>29.0</v>
      </c>
      <c r="O334" s="4">
        <v>0.0</v>
      </c>
      <c r="P334" s="4">
        <v>0.0</v>
      </c>
      <c r="Q334" s="5"/>
      <c r="R334" s="4">
        <v>306501.0</v>
      </c>
      <c r="S334" s="4">
        <v>403847.76</v>
      </c>
      <c r="T334" s="4">
        <v>139732.32</v>
      </c>
      <c r="U334" s="5" t="s">
        <v>1358</v>
      </c>
      <c r="V334" s="5" t="s">
        <v>36</v>
      </c>
      <c r="W334" s="4">
        <v>120.0</v>
      </c>
      <c r="X334" s="4">
        <v>0.0</v>
      </c>
      <c r="Y334" s="4">
        <v>0.0</v>
      </c>
      <c r="Z334" s="4">
        <v>0.0</v>
      </c>
      <c r="AA334" s="4">
        <v>7.0</v>
      </c>
      <c r="AB334" s="4">
        <v>127.0</v>
      </c>
      <c r="AC334" s="5"/>
      <c r="AD334" s="5"/>
      <c r="AE334" s="7" t="s">
        <v>1138</v>
      </c>
    </row>
    <row r="335">
      <c r="A335" s="4">
        <v>-8568334.4997</v>
      </c>
      <c r="B335" s="4">
        <v>4700907.9425</v>
      </c>
      <c r="C335" s="4">
        <v>362262.0</v>
      </c>
      <c r="D335" s="5" t="s">
        <v>45</v>
      </c>
      <c r="E335" s="5" t="s">
        <v>1359</v>
      </c>
      <c r="F335" s="5" t="s">
        <v>1360</v>
      </c>
      <c r="G335" s="5" t="s">
        <v>310</v>
      </c>
      <c r="H335" s="5" t="s">
        <v>34</v>
      </c>
      <c r="I335" s="4">
        <v>2.0</v>
      </c>
      <c r="J335" s="4">
        <v>38.8548883</v>
      </c>
      <c r="K335" s="4">
        <v>-76.97065613</v>
      </c>
      <c r="L335" s="4">
        <v>0.0</v>
      </c>
      <c r="M335" s="4">
        <v>0.0</v>
      </c>
      <c r="N335" s="4">
        <v>2.0</v>
      </c>
      <c r="O335" s="4">
        <v>0.0</v>
      </c>
      <c r="P335" s="4">
        <v>0.0</v>
      </c>
      <c r="Q335" s="5"/>
      <c r="R335" s="4">
        <v>339224.0</v>
      </c>
      <c r="S335" s="4">
        <v>402547.01</v>
      </c>
      <c r="T335" s="4">
        <v>131897.97</v>
      </c>
      <c r="U335" s="5" t="s">
        <v>1361</v>
      </c>
      <c r="V335" s="5" t="s">
        <v>36</v>
      </c>
      <c r="W335" s="4">
        <v>0.0</v>
      </c>
      <c r="X335" s="4">
        <v>0.0</v>
      </c>
      <c r="Y335" s="4">
        <v>2.0</v>
      </c>
      <c r="Z335" s="4">
        <v>2.0</v>
      </c>
      <c r="AA335" s="4">
        <v>10.0</v>
      </c>
      <c r="AB335" s="4">
        <v>12.0</v>
      </c>
      <c r="AC335" s="5"/>
      <c r="AD335" s="5"/>
      <c r="AE335" s="7" t="s">
        <v>1138</v>
      </c>
    </row>
    <row r="336">
      <c r="A336" s="4">
        <v>-8574794.4526</v>
      </c>
      <c r="B336" s="4">
        <v>4716049.0853</v>
      </c>
      <c r="C336" s="4">
        <v>362263.0</v>
      </c>
      <c r="D336" s="5" t="s">
        <v>51</v>
      </c>
      <c r="E336" s="5" t="s">
        <v>1362</v>
      </c>
      <c r="F336" s="5" t="s">
        <v>1363</v>
      </c>
      <c r="G336" s="5" t="s">
        <v>33</v>
      </c>
      <c r="H336" s="5" t="s">
        <v>34</v>
      </c>
      <c r="I336" s="4">
        <v>1.0</v>
      </c>
      <c r="J336" s="4">
        <v>38.96073904</v>
      </c>
      <c r="K336" s="4">
        <v>-77.02868905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5"/>
      <c r="R336" s="4">
        <v>253155.0</v>
      </c>
      <c r="S336" s="4">
        <v>397513.71</v>
      </c>
      <c r="T336" s="4">
        <v>143647.19</v>
      </c>
      <c r="U336" s="5" t="s">
        <v>1364</v>
      </c>
      <c r="V336" s="5" t="s">
        <v>36</v>
      </c>
      <c r="W336" s="4">
        <v>0.0</v>
      </c>
      <c r="X336" s="4">
        <v>0.0</v>
      </c>
      <c r="Y336" s="4">
        <v>1.0</v>
      </c>
      <c r="Z336" s="4">
        <v>1.0</v>
      </c>
      <c r="AA336" s="4">
        <v>4.0</v>
      </c>
      <c r="AB336" s="4">
        <v>5.0</v>
      </c>
      <c r="AC336" s="5" t="s">
        <v>281</v>
      </c>
      <c r="AD336" s="5"/>
      <c r="AE336" s="7" t="s">
        <v>50</v>
      </c>
    </row>
    <row r="337">
      <c r="A337" s="4">
        <v>-8570764.9747</v>
      </c>
      <c r="B337" s="4">
        <v>4707419.7043</v>
      </c>
      <c r="C337" s="4">
        <v>362264.0</v>
      </c>
      <c r="D337" s="5" t="s">
        <v>39</v>
      </c>
      <c r="E337" s="5" t="s">
        <v>1365</v>
      </c>
      <c r="F337" s="5" t="s">
        <v>1366</v>
      </c>
      <c r="G337" s="5" t="s">
        <v>310</v>
      </c>
      <c r="H337" s="5" t="s">
        <v>34</v>
      </c>
      <c r="I337" s="4">
        <v>6.0</v>
      </c>
      <c r="J337" s="4">
        <v>38.90042717</v>
      </c>
      <c r="K337" s="4">
        <v>-76.99248945</v>
      </c>
      <c r="L337" s="4">
        <v>0.0</v>
      </c>
      <c r="M337" s="4">
        <v>1.0</v>
      </c>
      <c r="N337" s="4">
        <v>5.0</v>
      </c>
      <c r="O337" s="4">
        <v>0.0</v>
      </c>
      <c r="P337" s="4">
        <v>0.0</v>
      </c>
      <c r="Q337" s="5"/>
      <c r="R337" s="4">
        <v>76136.0</v>
      </c>
      <c r="S337" s="4">
        <v>400651.49</v>
      </c>
      <c r="T337" s="4">
        <v>136952.71</v>
      </c>
      <c r="U337" s="5" t="s">
        <v>1367</v>
      </c>
      <c r="V337" s="5" t="s">
        <v>36</v>
      </c>
      <c r="W337" s="4">
        <v>0.0</v>
      </c>
      <c r="X337" s="4">
        <v>0.0</v>
      </c>
      <c r="Y337" s="4">
        <v>6.0</v>
      </c>
      <c r="Z337" s="4">
        <v>6.0</v>
      </c>
      <c r="AA337" s="4">
        <v>70.0</v>
      </c>
      <c r="AB337" s="4">
        <v>76.0</v>
      </c>
      <c r="AC337" s="5"/>
      <c r="AD337" s="5"/>
      <c r="AE337" s="7" t="s">
        <v>1138</v>
      </c>
    </row>
    <row r="338">
      <c r="A338" s="4">
        <v>-8574662.625</v>
      </c>
      <c r="B338" s="4">
        <v>4715120.6656</v>
      </c>
      <c r="C338" s="4">
        <v>362266.0</v>
      </c>
      <c r="D338" s="5" t="s">
        <v>51</v>
      </c>
      <c r="E338" s="5" t="s">
        <v>1368</v>
      </c>
      <c r="F338" s="5" t="s">
        <v>1369</v>
      </c>
      <c r="G338" s="5" t="s">
        <v>310</v>
      </c>
      <c r="H338" s="5" t="s">
        <v>34</v>
      </c>
      <c r="I338" s="4">
        <v>2.0</v>
      </c>
      <c r="J338" s="4">
        <v>38.95424443</v>
      </c>
      <c r="K338" s="4">
        <v>-77.02750263</v>
      </c>
      <c r="L338" s="4">
        <v>0.0</v>
      </c>
      <c r="M338" s="4">
        <v>1.0</v>
      </c>
      <c r="N338" s="4">
        <v>1.0</v>
      </c>
      <c r="O338" s="4">
        <v>0.0</v>
      </c>
      <c r="P338" s="4">
        <v>0.0</v>
      </c>
      <c r="Q338" s="5"/>
      <c r="R338" s="4">
        <v>285150.0</v>
      </c>
      <c r="S338" s="4">
        <v>397616.13</v>
      </c>
      <c r="T338" s="4">
        <v>142927.22</v>
      </c>
      <c r="U338" s="5" t="s">
        <v>1370</v>
      </c>
      <c r="V338" s="5" t="s">
        <v>36</v>
      </c>
      <c r="W338" s="4">
        <v>0.0</v>
      </c>
      <c r="X338" s="4">
        <v>0.0</v>
      </c>
      <c r="Y338" s="4">
        <v>2.0</v>
      </c>
      <c r="Z338" s="4">
        <v>2.0</v>
      </c>
      <c r="AA338" s="4">
        <v>11.0</v>
      </c>
      <c r="AB338" s="4">
        <v>13.0</v>
      </c>
      <c r="AC338" s="5"/>
      <c r="AD338" s="5"/>
      <c r="AE338" s="7" t="s">
        <v>1138</v>
      </c>
    </row>
    <row r="339">
      <c r="A339" s="4">
        <v>-8570797.2573</v>
      </c>
      <c r="B339" s="4">
        <v>4701951.6787</v>
      </c>
      <c r="C339" s="4">
        <v>362270.0</v>
      </c>
      <c r="D339" s="5" t="s">
        <v>45</v>
      </c>
      <c r="E339" s="5" t="s">
        <v>1371</v>
      </c>
      <c r="F339" s="5" t="s">
        <v>1372</v>
      </c>
      <c r="G339" s="5" t="s">
        <v>310</v>
      </c>
      <c r="H339" s="5" t="s">
        <v>34</v>
      </c>
      <c r="I339" s="4">
        <v>3.0</v>
      </c>
      <c r="J339" s="4">
        <v>38.86218973</v>
      </c>
      <c r="K339" s="4">
        <v>-76.99277945</v>
      </c>
      <c r="L339" s="4">
        <v>0.0</v>
      </c>
      <c r="M339" s="4">
        <v>0.0</v>
      </c>
      <c r="N339" s="4">
        <v>0.0</v>
      </c>
      <c r="O339" s="4">
        <v>3.0</v>
      </c>
      <c r="P339" s="4">
        <v>0.0</v>
      </c>
      <c r="Q339" s="5"/>
      <c r="R339" s="4">
        <v>47224.0</v>
      </c>
      <c r="S339" s="4">
        <v>400626.67</v>
      </c>
      <c r="T339" s="4">
        <v>132708.06</v>
      </c>
      <c r="U339" s="5" t="s">
        <v>1373</v>
      </c>
      <c r="V339" s="5" t="s">
        <v>36</v>
      </c>
      <c r="W339" s="4">
        <v>0.0</v>
      </c>
      <c r="X339" s="4">
        <v>0.0</v>
      </c>
      <c r="Y339" s="4">
        <v>3.0</v>
      </c>
      <c r="Z339" s="4">
        <v>3.0</v>
      </c>
      <c r="AA339" s="4">
        <v>41.0</v>
      </c>
      <c r="AB339" s="4">
        <v>44.0</v>
      </c>
      <c r="AC339" s="5"/>
      <c r="AD339" s="5"/>
      <c r="AE339" s="7" t="s">
        <v>1138</v>
      </c>
    </row>
    <row r="340">
      <c r="A340" s="4">
        <v>-8576385.7487</v>
      </c>
      <c r="B340" s="4">
        <v>4710148.6014</v>
      </c>
      <c r="C340" s="4">
        <v>362271.0</v>
      </c>
      <c r="D340" s="5" t="s">
        <v>114</v>
      </c>
      <c r="E340" s="5" t="s">
        <v>1374</v>
      </c>
      <c r="F340" s="5" t="s">
        <v>1375</v>
      </c>
      <c r="G340" s="5" t="s">
        <v>33</v>
      </c>
      <c r="H340" s="5" t="s">
        <v>34</v>
      </c>
      <c r="I340" s="4">
        <v>1.0</v>
      </c>
      <c r="J340" s="4">
        <v>38.91950208</v>
      </c>
      <c r="K340" s="4">
        <v>-77.04298171</v>
      </c>
      <c r="L340" s="4">
        <v>0.0</v>
      </c>
      <c r="M340" s="4">
        <v>0.0</v>
      </c>
      <c r="N340" s="4">
        <v>1.0</v>
      </c>
      <c r="O340" s="4">
        <v>0.0</v>
      </c>
      <c r="P340" s="4">
        <v>0.0</v>
      </c>
      <c r="Q340" s="5"/>
      <c r="R340" s="4">
        <v>243146.0</v>
      </c>
      <c r="S340" s="4">
        <v>396272.62</v>
      </c>
      <c r="T340" s="4">
        <v>139071.07</v>
      </c>
      <c r="U340" s="5" t="s">
        <v>1376</v>
      </c>
      <c r="V340" s="5" t="s">
        <v>36</v>
      </c>
      <c r="W340" s="4">
        <v>0.0</v>
      </c>
      <c r="X340" s="4">
        <v>0.0</v>
      </c>
      <c r="Y340" s="4">
        <v>1.0</v>
      </c>
      <c r="Z340" s="4">
        <v>1.0</v>
      </c>
      <c r="AA340" s="4">
        <v>10.0</v>
      </c>
      <c r="AB340" s="4">
        <v>11.0</v>
      </c>
      <c r="AC340" s="5" t="s">
        <v>1377</v>
      </c>
      <c r="AD340" s="5"/>
      <c r="AE340" s="7" t="s">
        <v>50</v>
      </c>
    </row>
    <row r="341">
      <c r="A341" s="4">
        <v>-8571779.5284</v>
      </c>
      <c r="B341" s="4">
        <v>4707358.4793</v>
      </c>
      <c r="C341" s="4">
        <v>362272.0</v>
      </c>
      <c r="D341" s="5" t="s">
        <v>39</v>
      </c>
      <c r="E341" s="5" t="s">
        <v>1378</v>
      </c>
      <c r="F341" s="5" t="s">
        <v>1379</v>
      </c>
      <c r="G341" s="5" t="s">
        <v>310</v>
      </c>
      <c r="H341" s="5" t="s">
        <v>34</v>
      </c>
      <c r="I341" s="4">
        <v>2.0</v>
      </c>
      <c r="J341" s="4">
        <v>38.89999914</v>
      </c>
      <c r="K341" s="4">
        <v>-77.00160334</v>
      </c>
      <c r="L341" s="4">
        <v>0.0</v>
      </c>
      <c r="M341" s="4">
        <v>0.0</v>
      </c>
      <c r="N341" s="4">
        <v>0.0</v>
      </c>
      <c r="O341" s="4">
        <v>2.0</v>
      </c>
      <c r="P341" s="4">
        <v>0.0</v>
      </c>
      <c r="Q341" s="5"/>
      <c r="R341" s="4">
        <v>150615.0</v>
      </c>
      <c r="S341" s="4">
        <v>399860.92</v>
      </c>
      <c r="T341" s="4">
        <v>136905.17</v>
      </c>
      <c r="U341" s="5" t="s">
        <v>1380</v>
      </c>
      <c r="V341" s="5" t="s">
        <v>36</v>
      </c>
      <c r="W341" s="4">
        <v>0.0</v>
      </c>
      <c r="X341" s="4">
        <v>0.0</v>
      </c>
      <c r="Y341" s="4">
        <v>2.0</v>
      </c>
      <c r="Z341" s="4">
        <v>2.0</v>
      </c>
      <c r="AA341" s="4">
        <v>14.0</v>
      </c>
      <c r="AB341" s="4">
        <v>16.0</v>
      </c>
      <c r="AC341" s="5"/>
      <c r="AD341" s="5"/>
      <c r="AE341" s="7" t="s">
        <v>1138</v>
      </c>
    </row>
    <row r="342">
      <c r="A342" s="4">
        <v>-8568786.8603</v>
      </c>
      <c r="B342" s="4">
        <v>4708132.0485</v>
      </c>
      <c r="C342" s="4">
        <v>362276.0</v>
      </c>
      <c r="D342" s="5" t="s">
        <v>56</v>
      </c>
      <c r="E342" s="5" t="s">
        <v>1381</v>
      </c>
      <c r="F342" s="5" t="s">
        <v>1382</v>
      </c>
      <c r="G342" s="5" t="s">
        <v>310</v>
      </c>
      <c r="H342" s="5" t="s">
        <v>34</v>
      </c>
      <c r="I342" s="4">
        <v>2.0</v>
      </c>
      <c r="J342" s="4">
        <v>38.90540668</v>
      </c>
      <c r="K342" s="4">
        <v>-76.97471975</v>
      </c>
      <c r="L342" s="4">
        <v>0.0</v>
      </c>
      <c r="M342" s="4">
        <v>0.0</v>
      </c>
      <c r="N342" s="4">
        <v>0.0</v>
      </c>
      <c r="O342" s="4">
        <v>2.0</v>
      </c>
      <c r="P342" s="4">
        <v>0.0</v>
      </c>
      <c r="Q342" s="5"/>
      <c r="R342" s="4">
        <v>53006.0</v>
      </c>
      <c r="S342" s="4">
        <v>402192.74</v>
      </c>
      <c r="T342" s="4">
        <v>137505.79</v>
      </c>
      <c r="U342" s="5" t="s">
        <v>1383</v>
      </c>
      <c r="V342" s="5" t="s">
        <v>36</v>
      </c>
      <c r="W342" s="4">
        <v>0.0</v>
      </c>
      <c r="X342" s="4">
        <v>0.0</v>
      </c>
      <c r="Y342" s="4">
        <v>2.0</v>
      </c>
      <c r="Z342" s="4">
        <v>2.0</v>
      </c>
      <c r="AA342" s="4">
        <v>26.0</v>
      </c>
      <c r="AB342" s="4">
        <v>28.0</v>
      </c>
      <c r="AC342" s="5"/>
      <c r="AD342" s="5"/>
      <c r="AE342" s="7" t="s">
        <v>50</v>
      </c>
    </row>
    <row r="343">
      <c r="A343" s="4">
        <v>-8568221.4552</v>
      </c>
      <c r="B343" s="4">
        <v>4703323.8287</v>
      </c>
      <c r="C343" s="4">
        <v>362277.0</v>
      </c>
      <c r="D343" s="5" t="s">
        <v>30</v>
      </c>
      <c r="E343" s="5" t="s">
        <v>1384</v>
      </c>
      <c r="F343" s="5" t="s">
        <v>1385</v>
      </c>
      <c r="G343" s="5" t="s">
        <v>33</v>
      </c>
      <c r="H343" s="5" t="s">
        <v>34</v>
      </c>
      <c r="I343" s="4">
        <v>21.0</v>
      </c>
      <c r="J343" s="4">
        <v>38.87178699</v>
      </c>
      <c r="K343" s="4">
        <v>-76.96964064</v>
      </c>
      <c r="L343" s="4">
        <v>0.0</v>
      </c>
      <c r="M343" s="4">
        <v>0.0</v>
      </c>
      <c r="N343" s="4">
        <v>10.0</v>
      </c>
      <c r="O343" s="4">
        <v>11.0</v>
      </c>
      <c r="P343" s="4">
        <v>0.0</v>
      </c>
      <c r="Q343" s="5"/>
      <c r="R343" s="4">
        <v>46174.0</v>
      </c>
      <c r="S343" s="4">
        <v>402634.53</v>
      </c>
      <c r="T343" s="4">
        <v>133773.84</v>
      </c>
      <c r="U343" s="5" t="s">
        <v>1386</v>
      </c>
      <c r="V343" s="5" t="s">
        <v>36</v>
      </c>
      <c r="W343" s="4">
        <v>21.0</v>
      </c>
      <c r="X343" s="4">
        <v>0.0</v>
      </c>
      <c r="Y343" s="4">
        <v>0.0</v>
      </c>
      <c r="Z343" s="4">
        <v>0.0</v>
      </c>
      <c r="AA343" s="4">
        <v>0.0</v>
      </c>
      <c r="AB343" s="4">
        <v>21.0</v>
      </c>
      <c r="AC343" s="5" t="s">
        <v>762</v>
      </c>
      <c r="AD343" s="5"/>
      <c r="AE343" s="7" t="s">
        <v>50</v>
      </c>
    </row>
    <row r="344">
      <c r="A344" s="4">
        <v>-8580863.9357</v>
      </c>
      <c r="B344" s="4">
        <v>4716226.0431</v>
      </c>
      <c r="C344" s="4">
        <v>362289.0</v>
      </c>
      <c r="D344" s="5" t="s">
        <v>341</v>
      </c>
      <c r="E344" s="5" t="s">
        <v>1387</v>
      </c>
      <c r="F344" s="5" t="s">
        <v>1388</v>
      </c>
      <c r="G344" s="5" t="s">
        <v>33</v>
      </c>
      <c r="H344" s="5" t="s">
        <v>1334</v>
      </c>
      <c r="I344" s="4">
        <v>30.0</v>
      </c>
      <c r="J344" s="4">
        <v>38.96196588</v>
      </c>
      <c r="K344" s="4">
        <v>-77.08320993</v>
      </c>
      <c r="L344" s="4">
        <v>30.0</v>
      </c>
      <c r="M344" s="4">
        <v>0.0</v>
      </c>
      <c r="N344" s="4">
        <v>0.0</v>
      </c>
      <c r="O344" s="4">
        <v>0.0</v>
      </c>
      <c r="P344" s="4">
        <v>0.0</v>
      </c>
      <c r="Q344" s="5"/>
      <c r="R344" s="4">
        <v>265978.0</v>
      </c>
      <c r="S344" s="4">
        <v>392788.32</v>
      </c>
      <c r="T344" s="4">
        <v>143787.3</v>
      </c>
      <c r="U344" s="5" t="s">
        <v>1389</v>
      </c>
      <c r="V344" s="5" t="s">
        <v>36</v>
      </c>
      <c r="W344" s="4">
        <v>0.0</v>
      </c>
      <c r="X344" s="4">
        <v>30.0</v>
      </c>
      <c r="Y344" s="4">
        <v>0.0</v>
      </c>
      <c r="Z344" s="4">
        <v>30.0</v>
      </c>
      <c r="AA344" s="4">
        <v>15.0</v>
      </c>
      <c r="AB344" s="4">
        <v>45.0</v>
      </c>
      <c r="AC344" s="5" t="s">
        <v>1390</v>
      </c>
      <c r="AD344" s="5"/>
      <c r="AE344" s="7" t="s">
        <v>50</v>
      </c>
    </row>
    <row r="345">
      <c r="A345" s="4">
        <v>-8565879.5591</v>
      </c>
      <c r="B345" s="4">
        <v>4707384.9157</v>
      </c>
      <c r="C345" s="4">
        <v>362290.0</v>
      </c>
      <c r="D345" s="5" t="s">
        <v>30</v>
      </c>
      <c r="E345" s="5" t="s">
        <v>1391</v>
      </c>
      <c r="F345" s="5" t="s">
        <v>1392</v>
      </c>
      <c r="G345" s="5" t="s">
        <v>33</v>
      </c>
      <c r="H345" s="5" t="s">
        <v>374</v>
      </c>
      <c r="I345" s="4">
        <v>0.0</v>
      </c>
      <c r="J345" s="4">
        <v>38.90018362</v>
      </c>
      <c r="K345" s="4">
        <v>-76.94860303</v>
      </c>
      <c r="L345" s="4">
        <v>0.0</v>
      </c>
      <c r="M345" s="4">
        <v>0.0</v>
      </c>
      <c r="N345" s="4">
        <v>0.0</v>
      </c>
      <c r="O345" s="4">
        <v>0.0</v>
      </c>
      <c r="P345" s="4">
        <v>23.0</v>
      </c>
      <c r="Q345" s="5" t="s">
        <v>1393</v>
      </c>
      <c r="R345" s="4">
        <v>328856.0</v>
      </c>
      <c r="S345" s="4">
        <v>404458.36</v>
      </c>
      <c r="T345" s="4">
        <v>136926.94</v>
      </c>
      <c r="U345" s="5" t="s">
        <v>1394</v>
      </c>
      <c r="V345" s="5" t="s">
        <v>36</v>
      </c>
      <c r="W345" s="4">
        <v>0.0</v>
      </c>
      <c r="X345" s="4">
        <v>0.0</v>
      </c>
      <c r="Y345" s="4">
        <v>0.0</v>
      </c>
      <c r="Z345" s="4">
        <v>0.0</v>
      </c>
      <c r="AA345" s="4">
        <v>95.0</v>
      </c>
      <c r="AB345" s="4">
        <v>118.0</v>
      </c>
      <c r="AC345" s="5" t="s">
        <v>1395</v>
      </c>
      <c r="AD345" s="5"/>
      <c r="AE345" s="7"/>
    </row>
    <row r="346">
      <c r="A346" s="4">
        <v>-8570035.0862</v>
      </c>
      <c r="B346" s="4">
        <v>4700311.4064</v>
      </c>
      <c r="C346" s="4">
        <v>362291.0</v>
      </c>
      <c r="D346" s="5" t="s">
        <v>45</v>
      </c>
      <c r="E346" s="5" t="s">
        <v>1396</v>
      </c>
      <c r="F346" s="5" t="s">
        <v>1397</v>
      </c>
      <c r="G346" s="5" t="s">
        <v>310</v>
      </c>
      <c r="H346" s="5" t="s">
        <v>34</v>
      </c>
      <c r="I346" s="4">
        <v>1.0</v>
      </c>
      <c r="J346" s="4">
        <v>38.8507151</v>
      </c>
      <c r="K346" s="4">
        <v>-76.98593276</v>
      </c>
      <c r="L346" s="4">
        <v>0.0</v>
      </c>
      <c r="M346" s="4">
        <v>1.0</v>
      </c>
      <c r="N346" s="4">
        <v>0.0</v>
      </c>
      <c r="O346" s="4">
        <v>0.0</v>
      </c>
      <c r="P346" s="4">
        <v>0.0</v>
      </c>
      <c r="Q346" s="5"/>
      <c r="R346" s="4">
        <v>332901.0</v>
      </c>
      <c r="S346" s="4">
        <v>401221.09</v>
      </c>
      <c r="T346" s="4">
        <v>131434.4</v>
      </c>
      <c r="U346" s="5" t="s">
        <v>1398</v>
      </c>
      <c r="V346" s="5" t="s">
        <v>36</v>
      </c>
      <c r="W346" s="4">
        <v>0.0</v>
      </c>
      <c r="X346" s="4">
        <v>0.0</v>
      </c>
      <c r="Y346" s="4">
        <v>1.0</v>
      </c>
      <c r="Z346" s="4">
        <v>1.0</v>
      </c>
      <c r="AA346" s="4">
        <v>7.0</v>
      </c>
      <c r="AB346" s="4">
        <v>8.0</v>
      </c>
      <c r="AC346" s="5"/>
      <c r="AD346" s="5"/>
      <c r="AE346" s="7" t="s">
        <v>1138</v>
      </c>
    </row>
    <row r="347">
      <c r="A347" s="4">
        <v>-8567991.5869</v>
      </c>
      <c r="B347" s="4">
        <v>4700973.1406</v>
      </c>
      <c r="C347" s="4">
        <v>362292.0</v>
      </c>
      <c r="D347" s="5" t="s">
        <v>45</v>
      </c>
      <c r="E347" s="5" t="s">
        <v>1399</v>
      </c>
      <c r="F347" s="5" t="s">
        <v>1400</v>
      </c>
      <c r="G347" s="5" t="s">
        <v>310</v>
      </c>
      <c r="H347" s="5" t="s">
        <v>34</v>
      </c>
      <c r="I347" s="4">
        <v>1.0</v>
      </c>
      <c r="J347" s="4">
        <v>38.85534472</v>
      </c>
      <c r="K347" s="4">
        <v>-76.9675757</v>
      </c>
      <c r="L347" s="4">
        <v>0.0</v>
      </c>
      <c r="M347" s="4">
        <v>0.0</v>
      </c>
      <c r="N347" s="4">
        <v>0.0</v>
      </c>
      <c r="O347" s="4">
        <v>1.0</v>
      </c>
      <c r="P347" s="4">
        <v>0.0</v>
      </c>
      <c r="Q347" s="5"/>
      <c r="R347" s="4">
        <v>44228.0</v>
      </c>
      <c r="S347" s="4">
        <v>402814.37</v>
      </c>
      <c r="T347" s="4">
        <v>131948.69</v>
      </c>
      <c r="U347" s="5" t="s">
        <v>1401</v>
      </c>
      <c r="V347" s="5" t="s">
        <v>36</v>
      </c>
      <c r="W347" s="4">
        <v>0.0</v>
      </c>
      <c r="X347" s="4">
        <v>0.0</v>
      </c>
      <c r="Y347" s="4">
        <v>1.0</v>
      </c>
      <c r="Z347" s="4">
        <v>1.0</v>
      </c>
      <c r="AA347" s="4">
        <v>15.0</v>
      </c>
      <c r="AB347" s="4">
        <v>16.0</v>
      </c>
      <c r="AC347" s="5"/>
      <c r="AD347" s="5"/>
      <c r="AE347" s="7" t="s">
        <v>1138</v>
      </c>
    </row>
    <row r="348">
      <c r="A348" s="4">
        <v>-8574686.5279</v>
      </c>
      <c r="B348" s="4">
        <v>4715382.8735</v>
      </c>
      <c r="C348" s="4">
        <v>362293.0</v>
      </c>
      <c r="D348" s="5" t="s">
        <v>51</v>
      </c>
      <c r="E348" s="5" t="s">
        <v>1402</v>
      </c>
      <c r="F348" s="5" t="s">
        <v>1403</v>
      </c>
      <c r="G348" s="5" t="s">
        <v>310</v>
      </c>
      <c r="H348" s="5" t="s">
        <v>34</v>
      </c>
      <c r="I348" s="4">
        <v>2.0</v>
      </c>
      <c r="J348" s="4">
        <v>38.95607612</v>
      </c>
      <c r="K348" s="4">
        <v>-77.02771735</v>
      </c>
      <c r="L348" s="4">
        <v>0.0</v>
      </c>
      <c r="M348" s="4">
        <v>2.0</v>
      </c>
      <c r="N348" s="4">
        <v>0.0</v>
      </c>
      <c r="O348" s="4">
        <v>0.0</v>
      </c>
      <c r="P348" s="4">
        <v>0.0</v>
      </c>
      <c r="Q348" s="5"/>
      <c r="R348" s="4">
        <v>285211.0</v>
      </c>
      <c r="S348" s="4">
        <v>397597.58</v>
      </c>
      <c r="T348" s="4">
        <v>143130.56</v>
      </c>
      <c r="U348" s="5" t="s">
        <v>1404</v>
      </c>
      <c r="V348" s="5" t="s">
        <v>36</v>
      </c>
      <c r="W348" s="4">
        <v>0.0</v>
      </c>
      <c r="X348" s="4">
        <v>0.0</v>
      </c>
      <c r="Y348" s="4">
        <v>2.0</v>
      </c>
      <c r="Z348" s="4">
        <v>2.0</v>
      </c>
      <c r="AA348" s="4">
        <v>19.0</v>
      </c>
      <c r="AB348" s="4">
        <v>21.0</v>
      </c>
      <c r="AC348" s="5"/>
      <c r="AD348" s="5"/>
      <c r="AE348" s="7" t="s">
        <v>1138</v>
      </c>
    </row>
    <row r="349">
      <c r="A349" s="4">
        <v>-8573221.9498</v>
      </c>
      <c r="B349" s="4">
        <v>4713518.9547</v>
      </c>
      <c r="C349" s="4">
        <v>362294.0</v>
      </c>
      <c r="D349" s="5" t="s">
        <v>51</v>
      </c>
      <c r="E349" s="5" t="s">
        <v>1405</v>
      </c>
      <c r="F349" s="5" t="s">
        <v>1406</v>
      </c>
      <c r="G349" s="5" t="s">
        <v>310</v>
      </c>
      <c r="H349" s="5" t="s">
        <v>34</v>
      </c>
      <c r="I349" s="4">
        <v>1.0</v>
      </c>
      <c r="J349" s="4">
        <v>38.94305442</v>
      </c>
      <c r="K349" s="4">
        <v>-77.01456083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5"/>
      <c r="R349" s="4">
        <v>244374.0</v>
      </c>
      <c r="S349" s="4">
        <v>398737.7</v>
      </c>
      <c r="T349" s="4">
        <v>141684.77</v>
      </c>
      <c r="U349" s="5" t="s">
        <v>1407</v>
      </c>
      <c r="V349" s="5" t="s">
        <v>36</v>
      </c>
      <c r="W349" s="4">
        <v>0.0</v>
      </c>
      <c r="X349" s="4">
        <v>0.0</v>
      </c>
      <c r="Y349" s="4">
        <v>1.0</v>
      </c>
      <c r="Z349" s="4">
        <v>1.0</v>
      </c>
      <c r="AA349" s="4">
        <v>4.0</v>
      </c>
      <c r="AB349" s="4">
        <v>5.0</v>
      </c>
      <c r="AC349" s="5"/>
      <c r="AD349" s="5"/>
      <c r="AE349" s="7" t="s">
        <v>1138</v>
      </c>
    </row>
    <row r="350">
      <c r="A350" s="4">
        <v>-8568730.1385</v>
      </c>
      <c r="B350" s="4">
        <v>4703279.9604</v>
      </c>
      <c r="C350" s="4">
        <v>362295.0</v>
      </c>
      <c r="D350" s="5" t="s">
        <v>45</v>
      </c>
      <c r="E350" s="5" t="s">
        <v>1408</v>
      </c>
      <c r="F350" s="5" t="s">
        <v>1409</v>
      </c>
      <c r="G350" s="5" t="s">
        <v>310</v>
      </c>
      <c r="H350" s="5" t="s">
        <v>34</v>
      </c>
      <c r="I350" s="4">
        <v>3.0</v>
      </c>
      <c r="J350" s="4">
        <v>38.87147307</v>
      </c>
      <c r="K350" s="4">
        <v>-76.97425458</v>
      </c>
      <c r="L350" s="4">
        <v>0.0</v>
      </c>
      <c r="M350" s="4">
        <v>0.0</v>
      </c>
      <c r="N350" s="4">
        <v>3.0</v>
      </c>
      <c r="O350" s="4">
        <v>0.0</v>
      </c>
      <c r="P350" s="4">
        <v>0.0</v>
      </c>
      <c r="Q350" s="5"/>
      <c r="R350" s="4">
        <v>50400.0</v>
      </c>
      <c r="S350" s="4">
        <v>402238.0</v>
      </c>
      <c r="T350" s="4">
        <v>133739.66</v>
      </c>
      <c r="U350" s="5" t="s">
        <v>1410</v>
      </c>
      <c r="V350" s="5" t="s">
        <v>36</v>
      </c>
      <c r="W350" s="4">
        <v>0.0</v>
      </c>
      <c r="X350" s="4">
        <v>0.0</v>
      </c>
      <c r="Y350" s="4">
        <v>3.0</v>
      </c>
      <c r="Z350" s="4">
        <v>3.0</v>
      </c>
      <c r="AA350" s="4">
        <v>29.0</v>
      </c>
      <c r="AB350" s="4">
        <v>32.0</v>
      </c>
      <c r="AC350" s="5"/>
      <c r="AD350" s="5"/>
      <c r="AE350" s="7" t="s">
        <v>1138</v>
      </c>
    </row>
    <row r="351">
      <c r="A351" s="4">
        <v>-8575212.2375</v>
      </c>
      <c r="B351" s="4">
        <v>4712220.2769</v>
      </c>
      <c r="C351" s="4">
        <v>362297.0</v>
      </c>
      <c r="D351" s="5" t="s">
        <v>114</v>
      </c>
      <c r="E351" s="5" t="s">
        <v>1411</v>
      </c>
      <c r="F351" s="5" t="s">
        <v>1412</v>
      </c>
      <c r="G351" s="5" t="s">
        <v>310</v>
      </c>
      <c r="H351" s="5" t="s">
        <v>34</v>
      </c>
      <c r="I351" s="4">
        <v>1.0</v>
      </c>
      <c r="J351" s="4">
        <v>38.9339802</v>
      </c>
      <c r="K351" s="4">
        <v>-77.03243988</v>
      </c>
      <c r="L351" s="4">
        <v>0.0</v>
      </c>
      <c r="M351" s="4">
        <v>0.0</v>
      </c>
      <c r="N351" s="4">
        <v>0.0</v>
      </c>
      <c r="O351" s="4">
        <v>1.0</v>
      </c>
      <c r="P351" s="4">
        <v>0.0</v>
      </c>
      <c r="Q351" s="5"/>
      <c r="R351" s="4">
        <v>230770.0</v>
      </c>
      <c r="S351" s="4">
        <v>397187.38</v>
      </c>
      <c r="T351" s="4">
        <v>140677.85</v>
      </c>
      <c r="U351" s="5" t="s">
        <v>1413</v>
      </c>
      <c r="V351" s="5" t="s">
        <v>36</v>
      </c>
      <c r="W351" s="4">
        <v>0.0</v>
      </c>
      <c r="X351" s="4">
        <v>0.0</v>
      </c>
      <c r="Y351" s="4">
        <v>1.0</v>
      </c>
      <c r="Z351" s="4">
        <v>1.0</v>
      </c>
      <c r="AA351" s="4">
        <v>9.0</v>
      </c>
      <c r="AB351" s="4">
        <v>10.0</v>
      </c>
      <c r="AC351" s="5"/>
      <c r="AD351" s="5"/>
      <c r="AE351" s="7" t="s">
        <v>1138</v>
      </c>
    </row>
    <row r="352">
      <c r="A352" s="4">
        <v>-8580911.0739</v>
      </c>
      <c r="B352" s="4">
        <v>4708514.7202</v>
      </c>
      <c r="C352" s="4">
        <v>362298.0</v>
      </c>
      <c r="D352" s="5" t="s">
        <v>341</v>
      </c>
      <c r="E352" s="5" t="s">
        <v>1414</v>
      </c>
      <c r="F352" s="5" t="s">
        <v>1415</v>
      </c>
      <c r="G352" s="5" t="s">
        <v>310</v>
      </c>
      <c r="H352" s="5" t="s">
        <v>34</v>
      </c>
      <c r="I352" s="4">
        <v>1.0</v>
      </c>
      <c r="J352" s="4">
        <v>38.90808171</v>
      </c>
      <c r="K352" s="4">
        <v>-77.08363338</v>
      </c>
      <c r="L352" s="4">
        <v>0.0</v>
      </c>
      <c r="M352" s="4">
        <v>0.0</v>
      </c>
      <c r="N352" s="4">
        <v>0.0</v>
      </c>
      <c r="O352" s="4">
        <v>1.0</v>
      </c>
      <c r="P352" s="4">
        <v>0.0</v>
      </c>
      <c r="Q352" s="5"/>
      <c r="R352" s="4">
        <v>275794.0</v>
      </c>
      <c r="S352" s="4">
        <v>392746.14</v>
      </c>
      <c r="T352" s="4">
        <v>137805.76</v>
      </c>
      <c r="U352" s="5" t="s">
        <v>1416</v>
      </c>
      <c r="V352" s="5" t="s">
        <v>36</v>
      </c>
      <c r="W352" s="4">
        <v>0.0</v>
      </c>
      <c r="X352" s="4">
        <v>0.0</v>
      </c>
      <c r="Y352" s="4">
        <v>1.0</v>
      </c>
      <c r="Z352" s="4">
        <v>1.0</v>
      </c>
      <c r="AA352" s="4">
        <v>16.0</v>
      </c>
      <c r="AB352" s="4">
        <v>17.0</v>
      </c>
      <c r="AC352" s="5"/>
      <c r="AD352" s="5"/>
      <c r="AE352" s="7" t="s">
        <v>1138</v>
      </c>
    </row>
    <row r="353">
      <c r="A353" s="4">
        <v>-8562831.0654</v>
      </c>
      <c r="B353" s="4">
        <v>4707415.6947</v>
      </c>
      <c r="C353" s="4">
        <v>362299.0</v>
      </c>
      <c r="D353" s="5" t="s">
        <v>30</v>
      </c>
      <c r="E353" s="5" t="s">
        <v>1417</v>
      </c>
      <c r="F353" s="5" t="s">
        <v>1418</v>
      </c>
      <c r="G353" s="5" t="s">
        <v>310</v>
      </c>
      <c r="H353" s="5" t="s">
        <v>34</v>
      </c>
      <c r="I353" s="4">
        <v>1.0</v>
      </c>
      <c r="J353" s="4">
        <v>38.90043785</v>
      </c>
      <c r="K353" s="4">
        <v>-76.92128143</v>
      </c>
      <c r="L353" s="4">
        <v>0.0</v>
      </c>
      <c r="M353" s="4">
        <v>0.0</v>
      </c>
      <c r="N353" s="4">
        <v>0.0</v>
      </c>
      <c r="O353" s="4">
        <v>1.0</v>
      </c>
      <c r="P353" s="4">
        <v>0.0</v>
      </c>
      <c r="Q353" s="5"/>
      <c r="R353" s="4">
        <v>338986.0</v>
      </c>
      <c r="S353" s="4">
        <v>406833.82</v>
      </c>
      <c r="T353" s="4">
        <v>136952.52</v>
      </c>
      <c r="U353" s="5" t="s">
        <v>1419</v>
      </c>
      <c r="V353" s="5" t="s">
        <v>36</v>
      </c>
      <c r="W353" s="4">
        <v>0.0</v>
      </c>
      <c r="X353" s="4">
        <v>0.0</v>
      </c>
      <c r="Y353" s="4">
        <v>1.0</v>
      </c>
      <c r="Z353" s="4">
        <v>1.0</v>
      </c>
      <c r="AA353" s="4">
        <v>10.0</v>
      </c>
      <c r="AB353" s="4">
        <v>11.0</v>
      </c>
      <c r="AC353" s="5"/>
      <c r="AD353" s="5"/>
      <c r="AE353" s="7" t="s">
        <v>1138</v>
      </c>
    </row>
    <row r="354">
      <c r="A354" s="4">
        <v>-8574182.7577</v>
      </c>
      <c r="B354" s="4">
        <v>4709214.4254</v>
      </c>
      <c r="C354" s="4">
        <v>362302.0</v>
      </c>
      <c r="D354" s="5" t="s">
        <v>442</v>
      </c>
      <c r="E354" s="5" t="s">
        <v>1420</v>
      </c>
      <c r="F354" s="5" t="s">
        <v>1421</v>
      </c>
      <c r="G354" s="5" t="s">
        <v>33</v>
      </c>
      <c r="H354" s="5" t="s">
        <v>34</v>
      </c>
      <c r="I354" s="4">
        <v>71.0</v>
      </c>
      <c r="J354" s="4">
        <v>38.91297268</v>
      </c>
      <c r="K354" s="4">
        <v>-77.02319191</v>
      </c>
      <c r="L354" s="4">
        <v>21.0</v>
      </c>
      <c r="M354" s="4">
        <v>50.0</v>
      </c>
      <c r="N354" s="4">
        <v>0.0</v>
      </c>
      <c r="O354" s="4">
        <v>0.0</v>
      </c>
      <c r="P354" s="4">
        <v>0.0</v>
      </c>
      <c r="Q354" s="5"/>
      <c r="R354" s="4">
        <v>295460.0</v>
      </c>
      <c r="S354" s="4">
        <v>397988.61</v>
      </c>
      <c r="T354" s="4">
        <v>138345.63</v>
      </c>
      <c r="U354" s="5" t="s">
        <v>1422</v>
      </c>
      <c r="V354" s="5" t="s">
        <v>36</v>
      </c>
      <c r="W354" s="4">
        <v>0.0</v>
      </c>
      <c r="X354" s="4">
        <v>71.0</v>
      </c>
      <c r="Y354" s="4">
        <v>0.0</v>
      </c>
      <c r="Z354" s="4">
        <v>71.0</v>
      </c>
      <c r="AA354" s="4">
        <v>0.0</v>
      </c>
      <c r="AB354" s="4">
        <v>71.0</v>
      </c>
      <c r="AC354" s="5" t="s">
        <v>1423</v>
      </c>
      <c r="AD354" s="5"/>
      <c r="AE354" s="7" t="s">
        <v>50</v>
      </c>
    </row>
    <row r="355">
      <c r="A355" s="4">
        <v>-8568853.1895</v>
      </c>
      <c r="B355" s="4">
        <v>4711650.6135</v>
      </c>
      <c r="C355" s="4">
        <v>362304.0</v>
      </c>
      <c r="D355" s="5" t="s">
        <v>56</v>
      </c>
      <c r="E355" s="5" t="s">
        <v>1424</v>
      </c>
      <c r="F355" s="5" t="s">
        <v>1425</v>
      </c>
      <c r="G355" s="5" t="s">
        <v>310</v>
      </c>
      <c r="H355" s="5" t="s">
        <v>34</v>
      </c>
      <c r="I355" s="4">
        <v>1.0</v>
      </c>
      <c r="J355" s="4">
        <v>38.92999943</v>
      </c>
      <c r="K355" s="4">
        <v>-76.9753156</v>
      </c>
      <c r="L355" s="4">
        <v>0.0</v>
      </c>
      <c r="M355" s="4">
        <v>0.0</v>
      </c>
      <c r="N355" s="4">
        <v>0.0</v>
      </c>
      <c r="O355" s="4">
        <v>1.0</v>
      </c>
      <c r="P355" s="4">
        <v>0.0</v>
      </c>
      <c r="Q355" s="5"/>
      <c r="R355" s="4">
        <v>52830.0</v>
      </c>
      <c r="S355" s="4">
        <v>402140.32</v>
      </c>
      <c r="T355" s="4">
        <v>140235.74</v>
      </c>
      <c r="U355" s="5" t="s">
        <v>1426</v>
      </c>
      <c r="V355" s="5" t="s">
        <v>36</v>
      </c>
      <c r="W355" s="4">
        <v>0.0</v>
      </c>
      <c r="X355" s="4">
        <v>0.0</v>
      </c>
      <c r="Y355" s="4">
        <v>1.0</v>
      </c>
      <c r="Z355" s="4">
        <v>1.0</v>
      </c>
      <c r="AA355" s="4">
        <v>9.0</v>
      </c>
      <c r="AB355" s="4">
        <v>10.0</v>
      </c>
      <c r="AC355" s="5"/>
      <c r="AD355" s="5"/>
      <c r="AE355" s="7" t="s">
        <v>1138</v>
      </c>
    </row>
    <row r="356">
      <c r="A356" s="4">
        <v>-8570010.703</v>
      </c>
      <c r="B356" s="4">
        <v>4707419.7041</v>
      </c>
      <c r="C356" s="4">
        <v>362305.0</v>
      </c>
      <c r="D356" s="5" t="s">
        <v>39</v>
      </c>
      <c r="E356" s="5" t="s">
        <v>1427</v>
      </c>
      <c r="F356" s="5" t="s">
        <v>1428</v>
      </c>
      <c r="G356" s="5" t="s">
        <v>310</v>
      </c>
      <c r="H356" s="5" t="s">
        <v>34</v>
      </c>
      <c r="I356" s="4">
        <v>4.0</v>
      </c>
      <c r="J356" s="4">
        <v>38.90042716</v>
      </c>
      <c r="K356" s="4">
        <v>-76.98571372</v>
      </c>
      <c r="L356" s="4">
        <v>0.0</v>
      </c>
      <c r="M356" s="4">
        <v>1.0</v>
      </c>
      <c r="N356" s="4">
        <v>3.0</v>
      </c>
      <c r="O356" s="4">
        <v>0.0</v>
      </c>
      <c r="P356" s="4">
        <v>0.0</v>
      </c>
      <c r="Q356" s="5"/>
      <c r="R356" s="4">
        <v>277717.0</v>
      </c>
      <c r="S356" s="4">
        <v>401239.24</v>
      </c>
      <c r="T356" s="4">
        <v>136952.78</v>
      </c>
      <c r="U356" s="5" t="s">
        <v>1429</v>
      </c>
      <c r="V356" s="5" t="s">
        <v>36</v>
      </c>
      <c r="W356" s="4">
        <v>0.0</v>
      </c>
      <c r="X356" s="4">
        <v>0.0</v>
      </c>
      <c r="Y356" s="4">
        <v>4.0</v>
      </c>
      <c r="Z356" s="4">
        <v>4.0</v>
      </c>
      <c r="AA356" s="4">
        <v>47.0</v>
      </c>
      <c r="AB356" s="4">
        <v>51.0</v>
      </c>
      <c r="AC356" s="5"/>
      <c r="AD356" s="5"/>
      <c r="AE356" s="7" t="s">
        <v>1138</v>
      </c>
    </row>
    <row r="357">
      <c r="A357" s="4">
        <v>-8569380.7637</v>
      </c>
      <c r="B357" s="4">
        <v>4711293.9808</v>
      </c>
      <c r="C357" s="4">
        <v>362306.0</v>
      </c>
      <c r="D357" s="5" t="s">
        <v>56</v>
      </c>
      <c r="E357" s="5" t="s">
        <v>1430</v>
      </c>
      <c r="F357" s="5" t="s">
        <v>1431</v>
      </c>
      <c r="G357" s="5" t="s">
        <v>310</v>
      </c>
      <c r="H357" s="5" t="s">
        <v>34</v>
      </c>
      <c r="I357" s="4">
        <v>3.0</v>
      </c>
      <c r="J357" s="4">
        <v>38.92750719</v>
      </c>
      <c r="K357" s="4">
        <v>-76.98005488</v>
      </c>
      <c r="L357" s="4">
        <v>0.0</v>
      </c>
      <c r="M357" s="4">
        <v>0.0</v>
      </c>
      <c r="N357" s="4">
        <v>0.0</v>
      </c>
      <c r="O357" s="4">
        <v>3.0</v>
      </c>
      <c r="P357" s="4">
        <v>0.0</v>
      </c>
      <c r="Q357" s="5"/>
      <c r="R357" s="4">
        <v>286417.0</v>
      </c>
      <c r="S357" s="4">
        <v>401729.45</v>
      </c>
      <c r="T357" s="4">
        <v>139958.98</v>
      </c>
      <c r="U357" s="5" t="s">
        <v>1432</v>
      </c>
      <c r="V357" s="5" t="s">
        <v>36</v>
      </c>
      <c r="W357" s="4">
        <v>0.0</v>
      </c>
      <c r="X357" s="4">
        <v>0.0</v>
      </c>
      <c r="Y357" s="4">
        <v>3.0</v>
      </c>
      <c r="Z357" s="4">
        <v>3.0</v>
      </c>
      <c r="AA357" s="4">
        <v>30.0</v>
      </c>
      <c r="AB357" s="4">
        <v>33.0</v>
      </c>
      <c r="AC357" s="5"/>
      <c r="AD357" s="5"/>
      <c r="AE357" s="7" t="s">
        <v>1138</v>
      </c>
    </row>
    <row r="358">
      <c r="A358" s="4">
        <v>-8574328.2907</v>
      </c>
      <c r="B358" s="4">
        <v>4708511.0318</v>
      </c>
      <c r="C358" s="4">
        <v>362307.0</v>
      </c>
      <c r="D358" s="5" t="s">
        <v>442</v>
      </c>
      <c r="E358" s="5" t="s">
        <v>1433</v>
      </c>
      <c r="F358" s="5" t="s">
        <v>1434</v>
      </c>
      <c r="G358" s="5" t="s">
        <v>310</v>
      </c>
      <c r="H358" s="5" t="s">
        <v>34</v>
      </c>
      <c r="I358" s="4">
        <v>4.0</v>
      </c>
      <c r="J358" s="4">
        <v>38.90805593</v>
      </c>
      <c r="K358" s="4">
        <v>-77.02449925</v>
      </c>
      <c r="L358" s="4">
        <v>0.0</v>
      </c>
      <c r="M358" s="4">
        <v>0.0</v>
      </c>
      <c r="N358" s="4">
        <v>0.0</v>
      </c>
      <c r="O358" s="4">
        <v>4.0</v>
      </c>
      <c r="P358" s="4">
        <v>0.0</v>
      </c>
      <c r="Q358" s="5"/>
      <c r="R358" s="4">
        <v>239754.0</v>
      </c>
      <c r="S358" s="4">
        <v>397875.08</v>
      </c>
      <c r="T358" s="4">
        <v>137799.86</v>
      </c>
      <c r="U358" s="5" t="s">
        <v>1435</v>
      </c>
      <c r="V358" s="5" t="s">
        <v>36</v>
      </c>
      <c r="W358" s="4">
        <v>0.0</v>
      </c>
      <c r="X358" s="4">
        <v>0.0</v>
      </c>
      <c r="Y358" s="4">
        <v>4.0</v>
      </c>
      <c r="Z358" s="4">
        <v>4.0</v>
      </c>
      <c r="AA358" s="4">
        <v>34.0</v>
      </c>
      <c r="AB358" s="4">
        <v>38.0</v>
      </c>
      <c r="AC358" s="5"/>
      <c r="AD358" s="5"/>
      <c r="AE358" s="7" t="s">
        <v>1138</v>
      </c>
    </row>
    <row r="359">
      <c r="A359" s="4">
        <v>-8571198.858</v>
      </c>
      <c r="B359" s="4">
        <v>4699788.2113</v>
      </c>
      <c r="C359" s="4">
        <v>362308.0</v>
      </c>
      <c r="D359" s="5" t="s">
        <v>45</v>
      </c>
      <c r="E359" s="5" t="s">
        <v>1436</v>
      </c>
      <c r="F359" s="5" t="s">
        <v>1437</v>
      </c>
      <c r="G359" s="5" t="s">
        <v>310</v>
      </c>
      <c r="H359" s="5" t="s">
        <v>34</v>
      </c>
      <c r="I359" s="4">
        <v>3.0</v>
      </c>
      <c r="J359" s="4">
        <v>38.84705477</v>
      </c>
      <c r="K359" s="4">
        <v>-76.99638709</v>
      </c>
      <c r="L359" s="4">
        <v>0.0</v>
      </c>
      <c r="M359" s="4">
        <v>0.0</v>
      </c>
      <c r="N359" s="4">
        <v>0.0</v>
      </c>
      <c r="O359" s="4">
        <v>3.0</v>
      </c>
      <c r="P359" s="4">
        <v>0.0</v>
      </c>
      <c r="Q359" s="5"/>
      <c r="R359" s="4">
        <v>44976.0</v>
      </c>
      <c r="S359" s="4">
        <v>400313.63</v>
      </c>
      <c r="T359" s="4">
        <v>131027.99</v>
      </c>
      <c r="U359" s="5" t="s">
        <v>1438</v>
      </c>
      <c r="V359" s="5" t="s">
        <v>36</v>
      </c>
      <c r="W359" s="4">
        <v>0.0</v>
      </c>
      <c r="X359" s="4">
        <v>0.0</v>
      </c>
      <c r="Y359" s="4">
        <v>3.0</v>
      </c>
      <c r="Z359" s="4">
        <v>3.0</v>
      </c>
      <c r="AA359" s="4">
        <v>19.0</v>
      </c>
      <c r="AB359" s="4">
        <v>22.0</v>
      </c>
      <c r="AC359" s="5"/>
      <c r="AD359" s="5"/>
      <c r="AE359" s="7" t="s">
        <v>1138</v>
      </c>
    </row>
    <row r="360">
      <c r="A360" s="4">
        <v>-8569109.7988</v>
      </c>
      <c r="B360" s="4">
        <v>4703216.097</v>
      </c>
      <c r="C360" s="4">
        <v>362309.0</v>
      </c>
      <c r="D360" s="5" t="s">
        <v>45</v>
      </c>
      <c r="E360" s="5" t="s">
        <v>1439</v>
      </c>
      <c r="F360" s="5" t="s">
        <v>1440</v>
      </c>
      <c r="G360" s="5" t="s">
        <v>310</v>
      </c>
      <c r="H360" s="5" t="s">
        <v>34</v>
      </c>
      <c r="I360" s="4">
        <v>3.0</v>
      </c>
      <c r="J360" s="4">
        <v>38.87103353</v>
      </c>
      <c r="K360" s="4">
        <v>-76.97762076</v>
      </c>
      <c r="L360" s="4">
        <v>0.0</v>
      </c>
      <c r="M360" s="4">
        <v>3.0</v>
      </c>
      <c r="N360" s="4">
        <v>0.0</v>
      </c>
      <c r="O360" s="4">
        <v>0.0</v>
      </c>
      <c r="P360" s="4">
        <v>0.0</v>
      </c>
      <c r="Q360" s="5"/>
      <c r="R360" s="4">
        <v>61477.0</v>
      </c>
      <c r="S360" s="4">
        <v>401942.05</v>
      </c>
      <c r="T360" s="4">
        <v>133690.0</v>
      </c>
      <c r="U360" s="5" t="s">
        <v>1441</v>
      </c>
      <c r="V360" s="5" t="s">
        <v>36</v>
      </c>
      <c r="W360" s="4">
        <v>0.0</v>
      </c>
      <c r="X360" s="4">
        <v>0.0</v>
      </c>
      <c r="Y360" s="4">
        <v>3.0</v>
      </c>
      <c r="Z360" s="4">
        <v>3.0</v>
      </c>
      <c r="AA360" s="4">
        <v>25.0</v>
      </c>
      <c r="AB360" s="4">
        <v>28.0</v>
      </c>
      <c r="AC360" s="5"/>
      <c r="AD360" s="5"/>
      <c r="AE360" s="7" t="s">
        <v>1138</v>
      </c>
    </row>
    <row r="361">
      <c r="A361" s="4">
        <v>-8571221.6574</v>
      </c>
      <c r="B361" s="4">
        <v>4707413.3018</v>
      </c>
      <c r="C361" s="4">
        <v>362321.0</v>
      </c>
      <c r="D361" s="5" t="s">
        <v>39</v>
      </c>
      <c r="E361" s="5" t="s">
        <v>1442</v>
      </c>
      <c r="F361" s="5" t="s">
        <v>1443</v>
      </c>
      <c r="G361" s="5" t="s">
        <v>33</v>
      </c>
      <c r="H361" s="5" t="s">
        <v>34</v>
      </c>
      <c r="I361" s="4">
        <v>2.0</v>
      </c>
      <c r="J361" s="4">
        <v>38.90038241</v>
      </c>
      <c r="K361" s="4">
        <v>-76.9965919</v>
      </c>
      <c r="L361" s="4">
        <v>0.0</v>
      </c>
      <c r="M361" s="4">
        <v>0.0</v>
      </c>
      <c r="N361" s="4">
        <v>0.0</v>
      </c>
      <c r="O361" s="4">
        <v>2.0</v>
      </c>
      <c r="P361" s="4">
        <v>0.0</v>
      </c>
      <c r="Q361" s="5"/>
      <c r="R361" s="4">
        <v>1685.0</v>
      </c>
      <c r="S361" s="4">
        <v>400295.63</v>
      </c>
      <c r="T361" s="4">
        <v>136947.72</v>
      </c>
      <c r="U361" s="5" t="s">
        <v>1444</v>
      </c>
      <c r="V361" s="5" t="s">
        <v>36</v>
      </c>
      <c r="W361" s="4">
        <v>0.0</v>
      </c>
      <c r="X361" s="4">
        <v>0.0</v>
      </c>
      <c r="Y361" s="4">
        <v>2.0</v>
      </c>
      <c r="Z361" s="4">
        <v>2.0</v>
      </c>
      <c r="AA361" s="4">
        <v>19.0</v>
      </c>
      <c r="AB361" s="4">
        <v>21.0</v>
      </c>
      <c r="AC361" s="5" t="s">
        <v>1445</v>
      </c>
      <c r="AD361" s="5"/>
      <c r="AE361" s="7" t="s">
        <v>50</v>
      </c>
    </row>
    <row r="362">
      <c r="A362" s="4">
        <v>-8577759.6475</v>
      </c>
      <c r="B362" s="4">
        <v>4707394.2583</v>
      </c>
      <c r="C362" s="4">
        <v>362329.0</v>
      </c>
      <c r="D362" s="5" t="s">
        <v>442</v>
      </c>
      <c r="E362" s="5" t="s">
        <v>1446</v>
      </c>
      <c r="F362" s="5" t="s">
        <v>1447</v>
      </c>
      <c r="G362" s="5" t="s">
        <v>33</v>
      </c>
      <c r="H362" s="5" t="s">
        <v>34</v>
      </c>
      <c r="I362" s="4">
        <v>18.0</v>
      </c>
      <c r="J362" s="4">
        <v>38.90028358</v>
      </c>
      <c r="K362" s="4">
        <v>-77.0553495</v>
      </c>
      <c r="L362" s="4">
        <v>0.0</v>
      </c>
      <c r="M362" s="4">
        <v>0.0</v>
      </c>
      <c r="N362" s="4">
        <v>18.0</v>
      </c>
      <c r="O362" s="4">
        <v>0.0</v>
      </c>
      <c r="P362" s="4">
        <v>0.0</v>
      </c>
      <c r="Q362" s="5" t="s">
        <v>1448</v>
      </c>
      <c r="R362" s="4">
        <v>273875.0</v>
      </c>
      <c r="S362" s="4">
        <v>395201.03</v>
      </c>
      <c r="T362" s="4">
        <v>136934.39</v>
      </c>
      <c r="U362" s="5" t="s">
        <v>1449</v>
      </c>
      <c r="V362" s="5" t="s">
        <v>36</v>
      </c>
      <c r="W362" s="4">
        <v>0.0</v>
      </c>
      <c r="X362" s="4">
        <v>0.0</v>
      </c>
      <c r="Y362" s="4">
        <v>18.0</v>
      </c>
      <c r="Z362" s="4">
        <v>18.0</v>
      </c>
      <c r="AA362" s="4">
        <v>232.0</v>
      </c>
      <c r="AB362" s="4">
        <v>250.0</v>
      </c>
      <c r="AC362" s="5" t="s">
        <v>1450</v>
      </c>
      <c r="AD362" s="5"/>
      <c r="AE362" s="7"/>
    </row>
    <row r="363">
      <c r="A363" s="4">
        <v>-8574258.5527</v>
      </c>
      <c r="B363" s="4">
        <v>4712374.4218</v>
      </c>
      <c r="C363" s="4">
        <v>362335.0</v>
      </c>
      <c r="D363" s="5" t="s">
        <v>114</v>
      </c>
      <c r="E363" s="5" t="s">
        <v>1451</v>
      </c>
      <c r="F363" s="5" t="s">
        <v>1452</v>
      </c>
      <c r="G363" s="5" t="s">
        <v>33</v>
      </c>
      <c r="H363" s="5" t="s">
        <v>34</v>
      </c>
      <c r="I363" s="4">
        <v>2.0</v>
      </c>
      <c r="J363" s="4">
        <v>38.93505319</v>
      </c>
      <c r="K363" s="4">
        <v>-77.02389135</v>
      </c>
      <c r="L363" s="4">
        <v>0.0</v>
      </c>
      <c r="M363" s="4">
        <v>0.0</v>
      </c>
      <c r="N363" s="4">
        <v>0.0</v>
      </c>
      <c r="O363" s="4">
        <v>2.0</v>
      </c>
      <c r="P363" s="4">
        <v>0.0</v>
      </c>
      <c r="Q363" s="5"/>
      <c r="R363" s="4">
        <v>228589.0</v>
      </c>
      <c r="S363" s="4">
        <v>397930.2</v>
      </c>
      <c r="T363" s="4">
        <v>140797.19</v>
      </c>
      <c r="U363" s="5" t="s">
        <v>1453</v>
      </c>
      <c r="V363" s="5" t="s">
        <v>36</v>
      </c>
      <c r="W363" s="4">
        <v>0.0</v>
      </c>
      <c r="X363" s="4">
        <v>0.0</v>
      </c>
      <c r="Y363" s="4">
        <v>2.0</v>
      </c>
      <c r="Z363" s="4">
        <v>2.0</v>
      </c>
      <c r="AA363" s="4">
        <v>25.0</v>
      </c>
      <c r="AB363" s="4">
        <v>27.0</v>
      </c>
      <c r="AC363" s="5" t="s">
        <v>1454</v>
      </c>
      <c r="AD363" s="5"/>
      <c r="AE363" s="7" t="s">
        <v>50</v>
      </c>
    </row>
    <row r="364">
      <c r="A364" s="4">
        <v>-8572405.5942</v>
      </c>
      <c r="B364" s="4">
        <v>4708842.3742</v>
      </c>
      <c r="C364" s="4">
        <v>362336.0</v>
      </c>
      <c r="D364" s="5" t="s">
        <v>56</v>
      </c>
      <c r="E364" s="5" t="s">
        <v>1455</v>
      </c>
      <c r="F364" s="5" t="s">
        <v>1456</v>
      </c>
      <c r="G364" s="5" t="s">
        <v>33</v>
      </c>
      <c r="H364" s="5" t="s">
        <v>42</v>
      </c>
      <c r="I364" s="4">
        <v>16.0</v>
      </c>
      <c r="J364" s="4">
        <v>38.91040529</v>
      </c>
      <c r="K364" s="4">
        <v>-77.00744657</v>
      </c>
      <c r="L364" s="4">
        <v>0.0</v>
      </c>
      <c r="M364" s="4">
        <v>0.0</v>
      </c>
      <c r="N364" s="4">
        <v>0.0</v>
      </c>
      <c r="O364" s="4">
        <v>16.0</v>
      </c>
      <c r="P364" s="4">
        <v>0.0</v>
      </c>
      <c r="Q364" s="6">
        <v>46358.0</v>
      </c>
      <c r="R364" s="4">
        <v>302309.0</v>
      </c>
      <c r="S364" s="4">
        <v>399373.16</v>
      </c>
      <c r="T364" s="4">
        <v>138056.71</v>
      </c>
      <c r="U364" s="5" t="s">
        <v>1457</v>
      </c>
      <c r="V364" s="5" t="s">
        <v>36</v>
      </c>
      <c r="W364" s="4">
        <v>0.0</v>
      </c>
      <c r="X364" s="4">
        <v>0.0</v>
      </c>
      <c r="Y364" s="4">
        <v>16.0</v>
      </c>
      <c r="Z364" s="4">
        <v>16.0</v>
      </c>
      <c r="AA364" s="4">
        <v>166.0</v>
      </c>
      <c r="AB364" s="4">
        <v>182.0</v>
      </c>
      <c r="AC364" s="5" t="s">
        <v>1458</v>
      </c>
      <c r="AD364" s="5"/>
      <c r="AE364" s="5"/>
    </row>
    <row r="365">
      <c r="A365" s="4">
        <v>-8567803.2913</v>
      </c>
      <c r="B365" s="4">
        <v>4710827.417</v>
      </c>
      <c r="C365" s="4">
        <v>362345.0</v>
      </c>
      <c r="D365" s="5" t="s">
        <v>56</v>
      </c>
      <c r="E365" s="5" t="s">
        <v>1459</v>
      </c>
      <c r="F365" s="5" t="s">
        <v>1460</v>
      </c>
      <c r="G365" s="5" t="s">
        <v>33</v>
      </c>
      <c r="H365" s="5" t="s">
        <v>34</v>
      </c>
      <c r="I365" s="4">
        <v>42.0</v>
      </c>
      <c r="J365" s="4">
        <v>38.92425536</v>
      </c>
      <c r="K365" s="4">
        <v>-76.96587717</v>
      </c>
      <c r="L365" s="4">
        <v>39.0</v>
      </c>
      <c r="M365" s="4">
        <v>3.0</v>
      </c>
      <c r="N365" s="4">
        <v>0.0</v>
      </c>
      <c r="O365" s="4">
        <v>0.0</v>
      </c>
      <c r="P365" s="4">
        <v>0.0</v>
      </c>
      <c r="Q365" s="8"/>
      <c r="R365" s="4">
        <v>45760.0</v>
      </c>
      <c r="S365" s="4">
        <v>402958.33</v>
      </c>
      <c r="T365" s="4">
        <v>139597.39</v>
      </c>
      <c r="U365" s="5" t="s">
        <v>1461</v>
      </c>
      <c r="V365" s="5" t="s">
        <v>36</v>
      </c>
      <c r="W365" s="4">
        <v>0.0</v>
      </c>
      <c r="X365" s="4">
        <v>0.0</v>
      </c>
      <c r="Y365" s="4">
        <v>42.0</v>
      </c>
      <c r="Z365" s="4">
        <v>42.0</v>
      </c>
      <c r="AA365" s="4">
        <v>0.0</v>
      </c>
      <c r="AB365" s="4">
        <v>42.0</v>
      </c>
      <c r="AC365" s="5" t="s">
        <v>1462</v>
      </c>
      <c r="AD365" s="5"/>
      <c r="AE365" s="7" t="s">
        <v>50</v>
      </c>
    </row>
    <row r="366">
      <c r="A366" s="4">
        <v>-8574235.6843</v>
      </c>
      <c r="B366" s="4">
        <v>4711573.801</v>
      </c>
      <c r="C366" s="4">
        <v>362350.0</v>
      </c>
      <c r="D366" s="5" t="s">
        <v>114</v>
      </c>
      <c r="E366" s="5" t="s">
        <v>1463</v>
      </c>
      <c r="F366" s="5" t="s">
        <v>1464</v>
      </c>
      <c r="G366" s="5" t="s">
        <v>33</v>
      </c>
      <c r="H366" s="5" t="s">
        <v>34</v>
      </c>
      <c r="I366" s="4">
        <v>1.0</v>
      </c>
      <c r="J366" s="4">
        <v>38.92944575</v>
      </c>
      <c r="K366" s="4">
        <v>-77.02352849</v>
      </c>
      <c r="L366" s="4">
        <v>0.0</v>
      </c>
      <c r="M366" s="4">
        <v>1.0</v>
      </c>
      <c r="N366" s="4">
        <v>0.0</v>
      </c>
      <c r="O366" s="4">
        <v>0.0</v>
      </c>
      <c r="P366" s="4">
        <v>0.0</v>
      </c>
      <c r="Q366" s="5"/>
      <c r="R366" s="4">
        <v>232888.0</v>
      </c>
      <c r="S366" s="4">
        <v>397947.85</v>
      </c>
      <c r="T366" s="4">
        <v>140176.13</v>
      </c>
      <c r="U366" s="5" t="s">
        <v>1465</v>
      </c>
      <c r="V366" s="5" t="s">
        <v>36</v>
      </c>
      <c r="W366" s="4">
        <v>0.0</v>
      </c>
      <c r="X366" s="4">
        <v>0.0</v>
      </c>
      <c r="Y366" s="4">
        <v>1.0</v>
      </c>
      <c r="Z366" s="4">
        <v>1.0</v>
      </c>
      <c r="AA366" s="4">
        <v>15.0</v>
      </c>
      <c r="AB366" s="4">
        <v>16.0</v>
      </c>
      <c r="AC366" s="5" t="s">
        <v>1466</v>
      </c>
      <c r="AD366" s="5"/>
      <c r="AE366" s="7" t="s">
        <v>50</v>
      </c>
    </row>
    <row r="367">
      <c r="A367" s="4">
        <v>-8572921.2036</v>
      </c>
      <c r="B367" s="4">
        <v>4703206.5799</v>
      </c>
      <c r="C367" s="4">
        <v>362353.0</v>
      </c>
      <c r="D367" s="5" t="s">
        <v>39</v>
      </c>
      <c r="E367" s="5" t="s">
        <v>1467</v>
      </c>
      <c r="F367" s="5" t="s">
        <v>1468</v>
      </c>
      <c r="G367" s="5" t="s">
        <v>33</v>
      </c>
      <c r="H367" s="5" t="s">
        <v>837</v>
      </c>
      <c r="I367" s="4">
        <v>76.0</v>
      </c>
      <c r="J367" s="4">
        <v>38.870893</v>
      </c>
      <c r="K367" s="4">
        <v>-77.011839</v>
      </c>
      <c r="L367" s="4">
        <v>16.0</v>
      </c>
      <c r="M367" s="4">
        <v>60.0</v>
      </c>
      <c r="N367" s="4">
        <v>0.0</v>
      </c>
      <c r="O367" s="4">
        <v>0.0</v>
      </c>
      <c r="P367" s="4">
        <v>0.0</v>
      </c>
      <c r="Q367" s="5" t="s">
        <v>1469</v>
      </c>
      <c r="R367" s="4">
        <v>60745.0</v>
      </c>
      <c r="S367" s="4">
        <v>398970.87</v>
      </c>
      <c r="T367" s="4">
        <v>133682.44</v>
      </c>
      <c r="U367" s="5" t="s">
        <v>1470</v>
      </c>
      <c r="V367" s="5" t="s">
        <v>36</v>
      </c>
      <c r="W367" s="4">
        <v>0.0</v>
      </c>
      <c r="X367" s="4">
        <v>0.0</v>
      </c>
      <c r="Y367" s="4">
        <v>76.0</v>
      </c>
      <c r="Z367" s="4">
        <v>76.0</v>
      </c>
      <c r="AA367" s="4">
        <v>0.0</v>
      </c>
      <c r="AB367" s="4">
        <v>76.0</v>
      </c>
      <c r="AC367" s="5" t="s">
        <v>1471</v>
      </c>
      <c r="AD367" s="5"/>
      <c r="AE367" s="7"/>
    </row>
    <row r="368">
      <c r="A368" s="4">
        <v>-8573117.2261</v>
      </c>
      <c r="B368" s="4">
        <v>4717882.8497</v>
      </c>
      <c r="C368" s="4">
        <v>362362.0</v>
      </c>
      <c r="D368" s="5" t="s">
        <v>51</v>
      </c>
      <c r="E368" s="5" t="s">
        <v>1472</v>
      </c>
      <c r="F368" s="5" t="s">
        <v>1473</v>
      </c>
      <c r="G368" s="5" t="s">
        <v>33</v>
      </c>
      <c r="H368" s="5" t="s">
        <v>34</v>
      </c>
      <c r="I368" s="4">
        <v>34.0</v>
      </c>
      <c r="J368" s="4">
        <v>38.97375842</v>
      </c>
      <c r="K368" s="4">
        <v>-77.01344159</v>
      </c>
      <c r="L368" s="4">
        <v>0.0</v>
      </c>
      <c r="M368" s="4">
        <v>0.0</v>
      </c>
      <c r="N368" s="4">
        <v>34.0</v>
      </c>
      <c r="O368" s="4">
        <v>0.0</v>
      </c>
      <c r="P368" s="4">
        <v>0.0</v>
      </c>
      <c r="Q368" s="5"/>
      <c r="R368" s="4">
        <v>245173.0</v>
      </c>
      <c r="S368" s="4">
        <v>398819.76</v>
      </c>
      <c r="T368" s="4">
        <v>145068.68</v>
      </c>
      <c r="U368" s="5" t="s">
        <v>1474</v>
      </c>
      <c r="V368" s="5" t="s">
        <v>36</v>
      </c>
      <c r="W368" s="4">
        <v>0.0</v>
      </c>
      <c r="X368" s="4">
        <v>0.0</v>
      </c>
      <c r="Y368" s="4">
        <v>34.0</v>
      </c>
      <c r="Z368" s="4">
        <v>34.0</v>
      </c>
      <c r="AA368" s="4">
        <v>319.0</v>
      </c>
      <c r="AB368" s="4">
        <v>353.0</v>
      </c>
      <c r="AC368" s="5" t="s">
        <v>1475</v>
      </c>
      <c r="AD368" s="5"/>
      <c r="AE368" s="7" t="s">
        <v>50</v>
      </c>
    </row>
    <row r="369">
      <c r="A369" s="4">
        <v>-8568995.0258</v>
      </c>
      <c r="B369" s="4">
        <v>4705231.6243</v>
      </c>
      <c r="C369" s="4">
        <v>362364.0</v>
      </c>
      <c r="D369" s="5" t="s">
        <v>30</v>
      </c>
      <c r="E369" s="5" t="s">
        <v>1476</v>
      </c>
      <c r="F369" s="5" t="s">
        <v>1477</v>
      </c>
      <c r="G369" s="5" t="s">
        <v>33</v>
      </c>
      <c r="H369" s="5" t="s">
        <v>63</v>
      </c>
      <c r="I369" s="4">
        <v>31.0</v>
      </c>
      <c r="J369" s="4">
        <v>38.88512824</v>
      </c>
      <c r="K369" s="4">
        <v>-76.97658974</v>
      </c>
      <c r="L369" s="4">
        <v>15.0</v>
      </c>
      <c r="M369" s="4">
        <v>0.0</v>
      </c>
      <c r="N369" s="4">
        <v>16.0</v>
      </c>
      <c r="O369" s="4">
        <v>0.0</v>
      </c>
      <c r="P369" s="4">
        <v>0.0</v>
      </c>
      <c r="Q369" s="5"/>
      <c r="R369" s="4">
        <v>314740.0</v>
      </c>
      <c r="S369" s="4">
        <v>402031.12</v>
      </c>
      <c r="T369" s="4">
        <v>135254.68</v>
      </c>
      <c r="U369" s="5" t="s">
        <v>1478</v>
      </c>
      <c r="V369" s="5" t="s">
        <v>36</v>
      </c>
      <c r="W369" s="4">
        <v>0.0</v>
      </c>
      <c r="X369" s="4">
        <v>0.0</v>
      </c>
      <c r="Y369" s="4">
        <v>31.0</v>
      </c>
      <c r="Z369" s="4">
        <v>31.0</v>
      </c>
      <c r="AA369" s="4">
        <v>231.0</v>
      </c>
      <c r="AB369" s="4">
        <v>262.0</v>
      </c>
      <c r="AC369" s="5" t="s">
        <v>1479</v>
      </c>
      <c r="AD369" s="5"/>
      <c r="AE369" s="7" t="s">
        <v>50</v>
      </c>
    </row>
    <row r="370">
      <c r="A370" s="4">
        <v>-8572154.6464</v>
      </c>
      <c r="B370" s="4">
        <v>4703679.8072</v>
      </c>
      <c r="C370" s="4">
        <v>362365.0</v>
      </c>
      <c r="D370" s="5" t="s">
        <v>45</v>
      </c>
      <c r="E370" s="5" t="s">
        <v>1480</v>
      </c>
      <c r="F370" s="5" t="s">
        <v>1481</v>
      </c>
      <c r="G370" s="5" t="s">
        <v>33</v>
      </c>
      <c r="H370" s="5" t="s">
        <v>374</v>
      </c>
      <c r="I370" s="4">
        <v>96.0</v>
      </c>
      <c r="J370" s="4">
        <v>38.87427627</v>
      </c>
      <c r="K370" s="4">
        <v>-77.00497308</v>
      </c>
      <c r="L370" s="4">
        <v>0.0</v>
      </c>
      <c r="M370" s="4">
        <v>96.0</v>
      </c>
      <c r="N370" s="4">
        <v>0.0</v>
      </c>
      <c r="O370" s="4">
        <v>0.0</v>
      </c>
      <c r="P370" s="4">
        <v>0.0</v>
      </c>
      <c r="Q370" s="5" t="s">
        <v>1482</v>
      </c>
      <c r="R370" s="4">
        <v>334779.0</v>
      </c>
      <c r="S370" s="4">
        <v>399568.46</v>
      </c>
      <c r="T370" s="4">
        <v>134049.78</v>
      </c>
      <c r="U370" s="5" t="s">
        <v>1483</v>
      </c>
      <c r="V370" s="5" t="s">
        <v>36</v>
      </c>
      <c r="W370" s="4">
        <v>0.0</v>
      </c>
      <c r="X370" s="4">
        <v>0.0</v>
      </c>
      <c r="Y370" s="4">
        <v>96.0</v>
      </c>
      <c r="Z370" s="4">
        <v>96.0</v>
      </c>
      <c r="AA370" s="4">
        <v>382.0</v>
      </c>
      <c r="AB370" s="4">
        <v>478.0</v>
      </c>
      <c r="AC370" s="5" t="s">
        <v>1484</v>
      </c>
      <c r="AD370" s="5"/>
      <c r="AE370" s="5"/>
    </row>
    <row r="371">
      <c r="A371" s="4">
        <v>-8573020.0503</v>
      </c>
      <c r="B371" s="4">
        <v>4702339.4359</v>
      </c>
      <c r="C371" s="4">
        <v>362366.0</v>
      </c>
      <c r="D371" s="5" t="s">
        <v>39</v>
      </c>
      <c r="E371" s="5" t="s">
        <v>1485</v>
      </c>
      <c r="F371" s="5" t="s">
        <v>1486</v>
      </c>
      <c r="G371" s="5" t="s">
        <v>33</v>
      </c>
      <c r="H371" s="5" t="s">
        <v>34</v>
      </c>
      <c r="I371" s="4">
        <v>32.0</v>
      </c>
      <c r="J371" s="4">
        <v>38.86480153</v>
      </c>
      <c r="K371" s="4">
        <v>-77.01289933</v>
      </c>
      <c r="L371" s="4">
        <v>0.0</v>
      </c>
      <c r="M371" s="4">
        <v>0.0</v>
      </c>
      <c r="N371" s="4">
        <v>32.0</v>
      </c>
      <c r="O371" s="4">
        <v>0.0</v>
      </c>
      <c r="P371" s="4">
        <v>0.0</v>
      </c>
      <c r="Q371" s="5"/>
      <c r="R371" s="4">
        <v>277734.0</v>
      </c>
      <c r="S371" s="4">
        <v>398893.72</v>
      </c>
      <c r="T371" s="4">
        <v>133009.19</v>
      </c>
      <c r="U371" s="5" t="s">
        <v>1487</v>
      </c>
      <c r="V371" s="5" t="s">
        <v>36</v>
      </c>
      <c r="W371" s="4">
        <v>0.0</v>
      </c>
      <c r="X371" s="4">
        <v>0.0</v>
      </c>
      <c r="Y371" s="4">
        <v>32.0</v>
      </c>
      <c r="Z371" s="4">
        <v>32.0</v>
      </c>
      <c r="AA371" s="4">
        <v>352.0</v>
      </c>
      <c r="AB371" s="4">
        <v>384.0</v>
      </c>
      <c r="AC371" s="5" t="s">
        <v>1488</v>
      </c>
      <c r="AD371" s="5"/>
      <c r="AE371" s="7" t="s">
        <v>50</v>
      </c>
    </row>
    <row r="372">
      <c r="A372" s="4">
        <v>-8573098.7036</v>
      </c>
      <c r="B372" s="4">
        <v>4702421.6717</v>
      </c>
      <c r="C372" s="4">
        <v>362367.0</v>
      </c>
      <c r="D372" s="5" t="s">
        <v>39</v>
      </c>
      <c r="E372" s="5" t="s">
        <v>1489</v>
      </c>
      <c r="F372" s="5" t="s">
        <v>1490</v>
      </c>
      <c r="G372" s="5" t="s">
        <v>33</v>
      </c>
      <c r="H372" s="5" t="s">
        <v>34</v>
      </c>
      <c r="I372" s="4">
        <v>32.0</v>
      </c>
      <c r="J372" s="4">
        <v>38.86547683</v>
      </c>
      <c r="K372" s="4">
        <v>-77.01345369</v>
      </c>
      <c r="L372" s="4">
        <v>0.0</v>
      </c>
      <c r="M372" s="4">
        <v>0.0</v>
      </c>
      <c r="N372" s="4">
        <v>32.0</v>
      </c>
      <c r="O372" s="4">
        <v>0.0</v>
      </c>
      <c r="P372" s="4">
        <v>0.0</v>
      </c>
      <c r="Q372" s="5"/>
      <c r="R372" s="4">
        <v>333415.0</v>
      </c>
      <c r="S372" s="4">
        <v>398832.41</v>
      </c>
      <c r="T372" s="4">
        <v>133073.05</v>
      </c>
      <c r="U372" s="5" t="s">
        <v>1491</v>
      </c>
      <c r="V372" s="5" t="s">
        <v>36</v>
      </c>
      <c r="W372" s="4">
        <v>0.0</v>
      </c>
      <c r="X372" s="4">
        <v>0.0</v>
      </c>
      <c r="Y372" s="4">
        <v>32.0</v>
      </c>
      <c r="Z372" s="4">
        <v>32.0</v>
      </c>
      <c r="AA372" s="4">
        <v>352.0</v>
      </c>
      <c r="AB372" s="4">
        <v>384.0</v>
      </c>
      <c r="AC372" s="5" t="s">
        <v>1492</v>
      </c>
      <c r="AD372" s="5"/>
      <c r="AE372" s="7" t="s">
        <v>50</v>
      </c>
    </row>
    <row r="373">
      <c r="A373" s="4">
        <v>-8572986.1144</v>
      </c>
      <c r="B373" s="4">
        <v>4702368.0583</v>
      </c>
      <c r="C373" s="4">
        <v>362368.0</v>
      </c>
      <c r="D373" s="5" t="s">
        <v>39</v>
      </c>
      <c r="E373" s="5" t="s">
        <v>1493</v>
      </c>
      <c r="F373" s="5" t="s">
        <v>1494</v>
      </c>
      <c r="G373" s="5" t="s">
        <v>33</v>
      </c>
      <c r="H373" s="5" t="s">
        <v>34</v>
      </c>
      <c r="I373" s="4">
        <v>26.0</v>
      </c>
      <c r="J373" s="4">
        <v>38.86497389</v>
      </c>
      <c r="K373" s="4">
        <v>-77.01256567</v>
      </c>
      <c r="L373" s="4">
        <v>0.0</v>
      </c>
      <c r="M373" s="4">
        <v>1.0</v>
      </c>
      <c r="N373" s="4">
        <v>25.0</v>
      </c>
      <c r="O373" s="4">
        <v>0.0</v>
      </c>
      <c r="P373" s="4">
        <v>0.0</v>
      </c>
      <c r="Q373" s="5"/>
      <c r="R373" s="4">
        <v>333413.0</v>
      </c>
      <c r="S373" s="4">
        <v>398920.18</v>
      </c>
      <c r="T373" s="4">
        <v>133031.41</v>
      </c>
      <c r="U373" s="5" t="s">
        <v>1495</v>
      </c>
      <c r="V373" s="5" t="s">
        <v>36</v>
      </c>
      <c r="W373" s="4">
        <v>0.0</v>
      </c>
      <c r="X373" s="4">
        <v>0.0</v>
      </c>
      <c r="Y373" s="4">
        <v>26.0</v>
      </c>
      <c r="Z373" s="4">
        <v>26.0</v>
      </c>
      <c r="AA373" s="4">
        <v>301.0</v>
      </c>
      <c r="AB373" s="4">
        <v>327.0</v>
      </c>
      <c r="AC373" s="5" t="s">
        <v>1496</v>
      </c>
      <c r="AD373" s="5"/>
      <c r="AE373" s="7" t="s">
        <v>50</v>
      </c>
    </row>
    <row r="374">
      <c r="A374" s="4">
        <v>-8569486.6711</v>
      </c>
      <c r="B374" s="4">
        <v>4711140.6084</v>
      </c>
      <c r="C374" s="4">
        <v>362369.0</v>
      </c>
      <c r="D374" s="5" t="s">
        <v>56</v>
      </c>
      <c r="E374" s="5" t="s">
        <v>1497</v>
      </c>
      <c r="F374" s="5" t="s">
        <v>1498</v>
      </c>
      <c r="G374" s="5" t="s">
        <v>33</v>
      </c>
      <c r="H374" s="5" t="s">
        <v>34</v>
      </c>
      <c r="I374" s="4">
        <v>2.0</v>
      </c>
      <c r="J374" s="4">
        <v>38.92645034</v>
      </c>
      <c r="K374" s="4">
        <v>-76.98100418</v>
      </c>
      <c r="L374" s="4">
        <v>0.0</v>
      </c>
      <c r="M374" s="4">
        <v>0.0</v>
      </c>
      <c r="N374" s="4">
        <v>2.0</v>
      </c>
      <c r="O374" s="4">
        <v>0.0</v>
      </c>
      <c r="P374" s="4">
        <v>0.0</v>
      </c>
      <c r="Q374" s="5"/>
      <c r="R374" s="4">
        <v>59567.0</v>
      </c>
      <c r="S374" s="4">
        <v>401646.98</v>
      </c>
      <c r="T374" s="4">
        <v>139839.98</v>
      </c>
      <c r="U374" s="5" t="s">
        <v>1499</v>
      </c>
      <c r="V374" s="5" t="s">
        <v>36</v>
      </c>
      <c r="W374" s="4">
        <v>0.0</v>
      </c>
      <c r="X374" s="4">
        <v>0.0</v>
      </c>
      <c r="Y374" s="4">
        <v>2.0</v>
      </c>
      <c r="Z374" s="4">
        <v>2.0</v>
      </c>
      <c r="AA374" s="4">
        <v>14.0</v>
      </c>
      <c r="AB374" s="4">
        <v>16.0</v>
      </c>
      <c r="AC374" s="5" t="s">
        <v>1500</v>
      </c>
      <c r="AD374" s="5"/>
      <c r="AE374" s="7" t="s">
        <v>50</v>
      </c>
    </row>
    <row r="375">
      <c r="A375" s="4">
        <v>-8574633.0416</v>
      </c>
      <c r="B375" s="4">
        <v>4718168.2579</v>
      </c>
      <c r="C375" s="4">
        <v>362370.0</v>
      </c>
      <c r="D375" s="5" t="s">
        <v>51</v>
      </c>
      <c r="E375" s="5" t="s">
        <v>1501</v>
      </c>
      <c r="F375" s="5" t="s">
        <v>1502</v>
      </c>
      <c r="G375" s="5" t="s">
        <v>33</v>
      </c>
      <c r="H375" s="5" t="s">
        <v>501</v>
      </c>
      <c r="I375" s="4">
        <v>26.0</v>
      </c>
      <c r="J375" s="4">
        <v>38.97572042</v>
      </c>
      <c r="K375" s="4">
        <v>-77.02698583</v>
      </c>
      <c r="L375" s="4">
        <v>0.0</v>
      </c>
      <c r="M375" s="4">
        <v>0.0</v>
      </c>
      <c r="N375" s="4">
        <v>0.0</v>
      </c>
      <c r="O375" s="4">
        <v>26.0</v>
      </c>
      <c r="P375" s="4">
        <v>0.0</v>
      </c>
      <c r="Q375" s="5"/>
      <c r="R375" s="4">
        <v>335594.0</v>
      </c>
      <c r="S375" s="4">
        <v>397639.87</v>
      </c>
      <c r="T375" s="4">
        <v>145290.21</v>
      </c>
      <c r="U375" s="5" t="s">
        <v>1503</v>
      </c>
      <c r="V375" s="5" t="s">
        <v>36</v>
      </c>
      <c r="W375" s="4">
        <v>0.0</v>
      </c>
      <c r="X375" s="4">
        <v>0.0</v>
      </c>
      <c r="Y375" s="4">
        <v>26.0</v>
      </c>
      <c r="Z375" s="4">
        <v>26.0</v>
      </c>
      <c r="AA375" s="4">
        <v>311.0</v>
      </c>
      <c r="AB375" s="4">
        <v>337.0</v>
      </c>
      <c r="AC375" s="5" t="s">
        <v>1504</v>
      </c>
      <c r="AD375" s="5"/>
      <c r="AE375" s="7" t="s">
        <v>50</v>
      </c>
    </row>
    <row r="376">
      <c r="A376" s="4">
        <v>-8564952.7639</v>
      </c>
      <c r="B376" s="4">
        <v>4706257.4025</v>
      </c>
      <c r="C376" s="4">
        <v>362377.0</v>
      </c>
      <c r="D376" s="5" t="s">
        <v>30</v>
      </c>
      <c r="E376" s="5" t="s">
        <v>1505</v>
      </c>
      <c r="F376" s="5" t="s">
        <v>1506</v>
      </c>
      <c r="G376" s="5" t="s">
        <v>33</v>
      </c>
      <c r="H376" s="5" t="s">
        <v>34</v>
      </c>
      <c r="I376" s="4">
        <v>14.0</v>
      </c>
      <c r="J376" s="4">
        <v>38.89230101</v>
      </c>
      <c r="K376" s="4">
        <v>-76.94027749</v>
      </c>
      <c r="L376" s="4">
        <v>0.0</v>
      </c>
      <c r="M376" s="4">
        <v>0.0</v>
      </c>
      <c r="N376" s="4">
        <v>0.0</v>
      </c>
      <c r="O376" s="4">
        <v>14.0</v>
      </c>
      <c r="P376" s="4">
        <v>0.0</v>
      </c>
      <c r="Q376" s="5"/>
      <c r="R376" s="4">
        <v>24290.0</v>
      </c>
      <c r="S376" s="4">
        <v>405181.12</v>
      </c>
      <c r="T376" s="4">
        <v>136052.31</v>
      </c>
      <c r="U376" s="5" t="s">
        <v>1507</v>
      </c>
      <c r="V376" s="5" t="s">
        <v>36</v>
      </c>
      <c r="W376" s="4">
        <v>0.0</v>
      </c>
      <c r="X376" s="4">
        <v>14.0</v>
      </c>
      <c r="Y376" s="4">
        <v>0.0</v>
      </c>
      <c r="Z376" s="4">
        <v>14.0</v>
      </c>
      <c r="AA376" s="4">
        <v>13.0</v>
      </c>
      <c r="AB376" s="4">
        <v>27.0</v>
      </c>
      <c r="AC376" s="5" t="s">
        <v>1508</v>
      </c>
      <c r="AD376" s="5"/>
      <c r="AE376" s="7" t="s">
        <v>50</v>
      </c>
    </row>
    <row r="377">
      <c r="A377" s="4">
        <v>-8573587.0309</v>
      </c>
      <c r="B377" s="4">
        <v>4718411.1643</v>
      </c>
      <c r="C377" s="4">
        <v>362378.0</v>
      </c>
      <c r="D377" s="5" t="s">
        <v>51</v>
      </c>
      <c r="E377" s="5" t="s">
        <v>1324</v>
      </c>
      <c r="F377" s="5" t="s">
        <v>1509</v>
      </c>
      <c r="G377" s="5" t="s">
        <v>33</v>
      </c>
      <c r="H377" s="5" t="s">
        <v>34</v>
      </c>
      <c r="I377" s="4">
        <v>36.0</v>
      </c>
      <c r="J377" s="4">
        <v>38.97722724</v>
      </c>
      <c r="K377" s="4">
        <v>-77.0178404</v>
      </c>
      <c r="L377" s="4">
        <v>0.0</v>
      </c>
      <c r="M377" s="4">
        <v>18.0</v>
      </c>
      <c r="N377" s="4">
        <v>0.0</v>
      </c>
      <c r="O377" s="4">
        <v>18.0</v>
      </c>
      <c r="P377" s="4">
        <v>0.0</v>
      </c>
      <c r="Q377" s="5"/>
      <c r="R377" s="4">
        <v>245138.0</v>
      </c>
      <c r="S377" s="4">
        <v>398454.13</v>
      </c>
      <c r="T377" s="4">
        <v>145478.32</v>
      </c>
      <c r="U377" s="5" t="s">
        <v>1327</v>
      </c>
      <c r="V377" s="5" t="s">
        <v>36</v>
      </c>
      <c r="W377" s="4">
        <v>0.0</v>
      </c>
      <c r="X377" s="4">
        <v>36.0</v>
      </c>
      <c r="Y377" s="4">
        <v>0.0</v>
      </c>
      <c r="Z377" s="4">
        <v>36.0</v>
      </c>
      <c r="AA377" s="4">
        <v>0.0</v>
      </c>
      <c r="AB377" s="4">
        <v>36.0</v>
      </c>
      <c r="AC377" s="5" t="s">
        <v>1508</v>
      </c>
      <c r="AD377" s="5"/>
      <c r="AE377" s="7" t="s">
        <v>50</v>
      </c>
    </row>
    <row r="378">
      <c r="A378" s="4">
        <v>-8576024.4641</v>
      </c>
      <c r="B378" s="4">
        <v>4710302.7003</v>
      </c>
      <c r="C378" s="4">
        <v>362379.0</v>
      </c>
      <c r="D378" s="5" t="s">
        <v>114</v>
      </c>
      <c r="E378" s="5" t="s">
        <v>1510</v>
      </c>
      <c r="F378" s="5" t="s">
        <v>1511</v>
      </c>
      <c r="G378" s="5" t="s">
        <v>33</v>
      </c>
      <c r="H378" s="5" t="s">
        <v>34</v>
      </c>
      <c r="I378" s="4">
        <v>1.0</v>
      </c>
      <c r="J378" s="4">
        <v>38.92057943</v>
      </c>
      <c r="K378" s="4">
        <v>-77.03973623</v>
      </c>
      <c r="L378" s="4">
        <v>0.0</v>
      </c>
      <c r="M378" s="4">
        <v>0.0</v>
      </c>
      <c r="N378" s="4">
        <v>0.0</v>
      </c>
      <c r="O378" s="4">
        <v>1.0</v>
      </c>
      <c r="P378" s="4">
        <v>0.0</v>
      </c>
      <c r="Q378" s="5"/>
      <c r="R378" s="4">
        <v>235777.0</v>
      </c>
      <c r="S378" s="4">
        <v>396554.12</v>
      </c>
      <c r="T378" s="4">
        <v>139190.5</v>
      </c>
      <c r="U378" s="5" t="s">
        <v>1512</v>
      </c>
      <c r="V378" s="5" t="s">
        <v>36</v>
      </c>
      <c r="W378" s="4">
        <v>0.0</v>
      </c>
      <c r="X378" s="4">
        <v>0.0</v>
      </c>
      <c r="Y378" s="4">
        <v>1.0</v>
      </c>
      <c r="Z378" s="4">
        <v>1.0</v>
      </c>
      <c r="AA378" s="4">
        <v>10.0</v>
      </c>
      <c r="AB378" s="4">
        <v>11.0</v>
      </c>
      <c r="AC378" s="5" t="s">
        <v>1513</v>
      </c>
      <c r="AD378" s="5"/>
      <c r="AE378" s="7" t="s">
        <v>50</v>
      </c>
    </row>
    <row r="379">
      <c r="A379" s="4">
        <v>-8570232.3318</v>
      </c>
      <c r="B379" s="4">
        <v>4704171.5088</v>
      </c>
      <c r="C379" s="4">
        <v>362380.0</v>
      </c>
      <c r="D379" s="5" t="s">
        <v>39</v>
      </c>
      <c r="E379" s="5" t="s">
        <v>1514</v>
      </c>
      <c r="F379" s="5" t="s">
        <v>1515</v>
      </c>
      <c r="G379" s="5" t="s">
        <v>33</v>
      </c>
      <c r="H379" s="5" t="s">
        <v>34</v>
      </c>
      <c r="I379" s="4">
        <v>1.0</v>
      </c>
      <c r="J379" s="4">
        <v>38.87772286</v>
      </c>
      <c r="K379" s="4">
        <v>-76.98773818</v>
      </c>
      <c r="L379" s="4">
        <v>0.0</v>
      </c>
      <c r="M379" s="4">
        <v>0.0</v>
      </c>
      <c r="N379" s="4">
        <v>1.0</v>
      </c>
      <c r="O379" s="4">
        <v>0.0</v>
      </c>
      <c r="P379" s="4">
        <v>0.0</v>
      </c>
      <c r="Q379" s="5"/>
      <c r="R379" s="4">
        <v>68301.0</v>
      </c>
      <c r="S379" s="4">
        <v>401066.88</v>
      </c>
      <c r="T379" s="4">
        <v>134431.56</v>
      </c>
      <c r="U379" s="5" t="s">
        <v>1516</v>
      </c>
      <c r="V379" s="5" t="s">
        <v>36</v>
      </c>
      <c r="W379" s="4">
        <v>0.0</v>
      </c>
      <c r="X379" s="4">
        <v>0.0</v>
      </c>
      <c r="Y379" s="4">
        <v>1.0</v>
      </c>
      <c r="Z379" s="4">
        <v>1.0</v>
      </c>
      <c r="AA379" s="4">
        <v>14.0</v>
      </c>
      <c r="AB379" s="4">
        <v>15.0</v>
      </c>
      <c r="AC379" s="5" t="s">
        <v>1247</v>
      </c>
      <c r="AD379" s="5"/>
      <c r="AE379" s="7" t="s">
        <v>50</v>
      </c>
    </row>
    <row r="380">
      <c r="A380" s="4">
        <v>-8564904.354</v>
      </c>
      <c r="B380" s="4">
        <v>4707737.0138</v>
      </c>
      <c r="C380" s="4">
        <v>362382.0</v>
      </c>
      <c r="D380" s="5" t="s">
        <v>30</v>
      </c>
      <c r="E380" s="5" t="s">
        <v>1517</v>
      </c>
      <c r="F380" s="5" t="s">
        <v>1518</v>
      </c>
      <c r="G380" s="5" t="s">
        <v>33</v>
      </c>
      <c r="H380" s="5" t="s">
        <v>34</v>
      </c>
      <c r="I380" s="4">
        <v>1.0</v>
      </c>
      <c r="J380" s="4">
        <v>38.90261781</v>
      </c>
      <c r="K380" s="4">
        <v>-76.93986674</v>
      </c>
      <c r="L380" s="4">
        <v>0.0</v>
      </c>
      <c r="M380" s="4">
        <v>0.0</v>
      </c>
      <c r="N380" s="4">
        <v>1.0</v>
      </c>
      <c r="O380" s="4">
        <v>0.0</v>
      </c>
      <c r="P380" s="4">
        <v>0.0</v>
      </c>
      <c r="Q380" s="5"/>
      <c r="R380" s="4">
        <v>23805.0</v>
      </c>
      <c r="S380" s="4">
        <v>405218.09</v>
      </c>
      <c r="T380" s="4">
        <v>137200.65</v>
      </c>
      <c r="U380" s="5" t="s">
        <v>1519</v>
      </c>
      <c r="V380" s="5" t="s">
        <v>36</v>
      </c>
      <c r="W380" s="4">
        <v>0.0</v>
      </c>
      <c r="X380" s="4">
        <v>0.0</v>
      </c>
      <c r="Y380" s="4">
        <v>1.0</v>
      </c>
      <c r="Z380" s="4">
        <v>1.0</v>
      </c>
      <c r="AA380" s="4">
        <v>10.0</v>
      </c>
      <c r="AB380" s="4">
        <v>11.0</v>
      </c>
      <c r="AC380" s="5" t="s">
        <v>1520</v>
      </c>
      <c r="AD380" s="5"/>
      <c r="AE380" s="7" t="s">
        <v>50</v>
      </c>
    </row>
    <row r="381">
      <c r="A381" s="4">
        <v>-8575850.5634</v>
      </c>
      <c r="B381" s="4">
        <v>4709192.9584</v>
      </c>
      <c r="C381" s="4">
        <v>362383.0</v>
      </c>
      <c r="D381" s="5" t="s">
        <v>442</v>
      </c>
      <c r="E381" s="5" t="s">
        <v>1521</v>
      </c>
      <c r="F381" s="5" t="s">
        <v>1522</v>
      </c>
      <c r="G381" s="5" t="s">
        <v>33</v>
      </c>
      <c r="H381" s="5" t="s">
        <v>34</v>
      </c>
      <c r="I381" s="4">
        <v>1.0</v>
      </c>
      <c r="J381" s="4">
        <v>38.91282263</v>
      </c>
      <c r="K381" s="4">
        <v>-77.03817406</v>
      </c>
      <c r="L381" s="4">
        <v>0.0</v>
      </c>
      <c r="M381" s="4">
        <v>1.0</v>
      </c>
      <c r="N381" s="4">
        <v>0.0</v>
      </c>
      <c r="O381" s="4">
        <v>0.0</v>
      </c>
      <c r="P381" s="4">
        <v>0.0</v>
      </c>
      <c r="Q381" s="5"/>
      <c r="R381" s="4">
        <v>243052.0</v>
      </c>
      <c r="S381" s="4">
        <v>396689.23</v>
      </c>
      <c r="T381" s="4">
        <v>138329.41</v>
      </c>
      <c r="U381" s="5" t="s">
        <v>1523</v>
      </c>
      <c r="V381" s="5" t="s">
        <v>36</v>
      </c>
      <c r="W381" s="4">
        <v>0.0</v>
      </c>
      <c r="X381" s="4">
        <v>0.0</v>
      </c>
      <c r="Y381" s="4">
        <v>1.0</v>
      </c>
      <c r="Z381" s="4">
        <v>1.0</v>
      </c>
      <c r="AA381" s="4">
        <v>9.0</v>
      </c>
      <c r="AB381" s="4">
        <v>10.0</v>
      </c>
      <c r="AC381" s="5" t="s">
        <v>1524</v>
      </c>
      <c r="AD381" s="5"/>
      <c r="AE381" s="7" t="s">
        <v>50</v>
      </c>
    </row>
    <row r="382">
      <c r="A382" s="4">
        <v>-8568549.9288</v>
      </c>
      <c r="B382" s="4">
        <v>4708136.0391</v>
      </c>
      <c r="C382" s="4">
        <v>362385.0</v>
      </c>
      <c r="D382" s="5" t="s">
        <v>56</v>
      </c>
      <c r="E382" s="5" t="s">
        <v>1525</v>
      </c>
      <c r="F382" s="5" t="s">
        <v>1526</v>
      </c>
      <c r="G382" s="5" t="s">
        <v>33</v>
      </c>
      <c r="H382" s="5" t="s">
        <v>34</v>
      </c>
      <c r="I382" s="4">
        <v>2.0</v>
      </c>
      <c r="J382" s="4">
        <v>38.90543491</v>
      </c>
      <c r="K382" s="4">
        <v>-76.97259136</v>
      </c>
      <c r="L382" s="4">
        <v>0.0</v>
      </c>
      <c r="M382" s="4">
        <v>0.0</v>
      </c>
      <c r="N382" s="4">
        <v>0.0</v>
      </c>
      <c r="O382" s="4">
        <v>2.0</v>
      </c>
      <c r="P382" s="4">
        <v>0.0</v>
      </c>
      <c r="Q382" s="5"/>
      <c r="R382" s="4">
        <v>50222.0</v>
      </c>
      <c r="S382" s="4">
        <v>402377.35</v>
      </c>
      <c r="T382" s="4">
        <v>137508.94</v>
      </c>
      <c r="U382" s="5" t="s">
        <v>1527</v>
      </c>
      <c r="V382" s="5" t="s">
        <v>36</v>
      </c>
      <c r="W382" s="4">
        <v>0.0</v>
      </c>
      <c r="X382" s="4">
        <v>0.0</v>
      </c>
      <c r="Y382" s="4">
        <v>2.0</v>
      </c>
      <c r="Z382" s="4">
        <v>2.0</v>
      </c>
      <c r="AA382" s="4">
        <v>12.0</v>
      </c>
      <c r="AB382" s="4">
        <v>14.0</v>
      </c>
      <c r="AC382" s="5" t="s">
        <v>1528</v>
      </c>
      <c r="AD382" s="5"/>
      <c r="AE382" s="7" t="s">
        <v>50</v>
      </c>
    </row>
    <row r="383">
      <c r="A383" s="4">
        <v>-8574696.1214</v>
      </c>
      <c r="B383" s="4">
        <v>4705310.8579</v>
      </c>
      <c r="C383" s="4">
        <v>362386.0</v>
      </c>
      <c r="D383" s="5" t="s">
        <v>39</v>
      </c>
      <c r="E383" s="5" t="s">
        <v>1529</v>
      </c>
      <c r="F383" s="5" t="s">
        <v>1530</v>
      </c>
      <c r="G383" s="5" t="s">
        <v>33</v>
      </c>
      <c r="H383" s="5" t="s">
        <v>34</v>
      </c>
      <c r="I383" s="4">
        <v>46.0</v>
      </c>
      <c r="J383" s="4">
        <v>38.88552654</v>
      </c>
      <c r="K383" s="4">
        <v>-77.02777362</v>
      </c>
      <c r="L383" s="4">
        <v>0.0</v>
      </c>
      <c r="M383" s="4">
        <v>1.0</v>
      </c>
      <c r="N383" s="4">
        <v>45.0</v>
      </c>
      <c r="O383" s="4">
        <v>0.0</v>
      </c>
      <c r="P383" s="4">
        <v>0.0</v>
      </c>
      <c r="Q383" s="5"/>
      <c r="R383" s="4">
        <v>42685.0</v>
      </c>
      <c r="S383" s="4">
        <v>397587.73</v>
      </c>
      <c r="T383" s="4">
        <v>135316.29</v>
      </c>
      <c r="U383" s="5" t="s">
        <v>1531</v>
      </c>
      <c r="V383" s="5" t="s">
        <v>36</v>
      </c>
      <c r="W383" s="4">
        <v>0.0</v>
      </c>
      <c r="X383" s="4">
        <v>0.0</v>
      </c>
      <c r="Y383" s="4">
        <v>46.0</v>
      </c>
      <c r="Z383" s="4">
        <v>46.0</v>
      </c>
      <c r="AA383" s="4">
        <v>516.0</v>
      </c>
      <c r="AB383" s="4">
        <v>562.0</v>
      </c>
      <c r="AC383" s="5" t="s">
        <v>1247</v>
      </c>
      <c r="AD383" s="5"/>
      <c r="AE383" s="7" t="s">
        <v>50</v>
      </c>
    </row>
    <row r="384">
      <c r="A384" s="4">
        <v>-8574565.3644</v>
      </c>
      <c r="B384" s="4">
        <v>4715381.2332</v>
      </c>
      <c r="C384" s="4">
        <v>362387.0</v>
      </c>
      <c r="D384" s="5" t="s">
        <v>51</v>
      </c>
      <c r="E384" s="5" t="s">
        <v>1532</v>
      </c>
      <c r="F384" s="5" t="s">
        <v>1533</v>
      </c>
      <c r="G384" s="5" t="s">
        <v>310</v>
      </c>
      <c r="H384" s="5" t="s">
        <v>34</v>
      </c>
      <c r="I384" s="4">
        <v>1.0</v>
      </c>
      <c r="J384" s="4">
        <v>38.95606433</v>
      </c>
      <c r="K384" s="4">
        <v>-77.02662892</v>
      </c>
      <c r="L384" s="4">
        <v>0.0</v>
      </c>
      <c r="M384" s="4">
        <v>1.0</v>
      </c>
      <c r="N384" s="4">
        <v>0.0</v>
      </c>
      <c r="O384" s="4">
        <v>0.0</v>
      </c>
      <c r="P384" s="4">
        <v>0.0</v>
      </c>
      <c r="Q384" s="5"/>
      <c r="R384" s="4">
        <v>254595.0</v>
      </c>
      <c r="S384" s="4">
        <v>397691.92</v>
      </c>
      <c r="T384" s="4">
        <v>143129.26</v>
      </c>
      <c r="U384" s="5" t="s">
        <v>1534</v>
      </c>
      <c r="V384" s="5" t="s">
        <v>36</v>
      </c>
      <c r="W384" s="4">
        <v>0.0</v>
      </c>
      <c r="X384" s="4">
        <v>0.0</v>
      </c>
      <c r="Y384" s="4">
        <v>1.0</v>
      </c>
      <c r="Z384" s="4">
        <v>1.0</v>
      </c>
      <c r="AA384" s="4">
        <v>9.0</v>
      </c>
      <c r="AB384" s="4">
        <v>10.0</v>
      </c>
      <c r="AC384" s="5"/>
      <c r="AD384" s="5"/>
      <c r="AE384" s="7" t="s">
        <v>1138</v>
      </c>
    </row>
    <row r="385">
      <c r="A385" s="4">
        <v>-8570251.0143</v>
      </c>
      <c r="B385" s="4">
        <v>4704243.7898</v>
      </c>
      <c r="C385" s="4">
        <v>362388.0</v>
      </c>
      <c r="D385" s="5" t="s">
        <v>39</v>
      </c>
      <c r="E385" s="5" t="s">
        <v>1535</v>
      </c>
      <c r="F385" s="5" t="s">
        <v>1536</v>
      </c>
      <c r="G385" s="5" t="s">
        <v>33</v>
      </c>
      <c r="H385" s="5" t="s">
        <v>34</v>
      </c>
      <c r="I385" s="4">
        <v>1.0</v>
      </c>
      <c r="J385" s="4">
        <v>38.87822077</v>
      </c>
      <c r="K385" s="4">
        <v>-76.98787247</v>
      </c>
      <c r="L385" s="4">
        <v>0.0</v>
      </c>
      <c r="M385" s="4">
        <v>0.0</v>
      </c>
      <c r="N385" s="4">
        <v>0.0</v>
      </c>
      <c r="O385" s="4">
        <v>1.0</v>
      </c>
      <c r="P385" s="4">
        <v>0.0</v>
      </c>
      <c r="Q385" s="5"/>
      <c r="R385" s="4">
        <v>68579.0</v>
      </c>
      <c r="S385" s="4">
        <v>401052.31</v>
      </c>
      <c r="T385" s="4">
        <v>134487.67</v>
      </c>
      <c r="U385" s="5" t="s">
        <v>1537</v>
      </c>
      <c r="V385" s="5" t="s">
        <v>36</v>
      </c>
      <c r="W385" s="4">
        <v>0.0</v>
      </c>
      <c r="X385" s="4">
        <v>0.0</v>
      </c>
      <c r="Y385" s="4">
        <v>1.0</v>
      </c>
      <c r="Z385" s="4">
        <v>1.0</v>
      </c>
      <c r="AA385" s="4">
        <v>9.0</v>
      </c>
      <c r="AB385" s="4">
        <v>10.0</v>
      </c>
      <c r="AC385" s="5" t="s">
        <v>804</v>
      </c>
      <c r="AD385" s="5"/>
      <c r="AE385" s="7" t="s">
        <v>50</v>
      </c>
    </row>
    <row r="386">
      <c r="A386" s="4">
        <v>-8569435.8472</v>
      </c>
      <c r="B386" s="4">
        <v>4707262.3687</v>
      </c>
      <c r="C386" s="4">
        <v>362389.0</v>
      </c>
      <c r="D386" s="5" t="s">
        <v>30</v>
      </c>
      <c r="E386" s="5" t="s">
        <v>1538</v>
      </c>
      <c r="F386" s="5" t="s">
        <v>1539</v>
      </c>
      <c r="G386" s="5" t="s">
        <v>33</v>
      </c>
      <c r="H386" s="5" t="s">
        <v>34</v>
      </c>
      <c r="I386" s="4">
        <v>1.0</v>
      </c>
      <c r="J386" s="4">
        <v>38.89932722</v>
      </c>
      <c r="K386" s="4">
        <v>-76.9805497</v>
      </c>
      <c r="L386" s="4">
        <v>0.0</v>
      </c>
      <c r="M386" s="4">
        <v>0.0</v>
      </c>
      <c r="N386" s="4">
        <v>1.0</v>
      </c>
      <c r="O386" s="4">
        <v>0.0</v>
      </c>
      <c r="P386" s="4">
        <v>0.0</v>
      </c>
      <c r="Q386" s="5"/>
      <c r="R386" s="4">
        <v>59111.0</v>
      </c>
      <c r="S386" s="4">
        <v>401687.21</v>
      </c>
      <c r="T386" s="4">
        <v>136830.76</v>
      </c>
      <c r="U386" s="5" t="s">
        <v>1540</v>
      </c>
      <c r="V386" s="5" t="s">
        <v>36</v>
      </c>
      <c r="W386" s="4">
        <v>0.0</v>
      </c>
      <c r="X386" s="4">
        <v>0.0</v>
      </c>
      <c r="Y386" s="4">
        <v>1.0</v>
      </c>
      <c r="Z386" s="4">
        <v>1.0</v>
      </c>
      <c r="AA386" s="4">
        <v>17.0</v>
      </c>
      <c r="AB386" s="4">
        <v>18.0</v>
      </c>
      <c r="AC386" s="5" t="s">
        <v>1541</v>
      </c>
      <c r="AD386" s="5"/>
      <c r="AE386" s="7" t="s">
        <v>50</v>
      </c>
    </row>
    <row r="387">
      <c r="A387" s="4">
        <v>-8569814.1961</v>
      </c>
      <c r="B387" s="4">
        <v>4701218.7271</v>
      </c>
      <c r="C387" s="4">
        <v>362390.0</v>
      </c>
      <c r="D387" s="5" t="s">
        <v>45</v>
      </c>
      <c r="E387" s="5" t="s">
        <v>1542</v>
      </c>
      <c r="F387" s="5" t="s">
        <v>1543</v>
      </c>
      <c r="G387" s="5" t="s">
        <v>33</v>
      </c>
      <c r="H387" s="5" t="s">
        <v>34</v>
      </c>
      <c r="I387" s="4">
        <v>1.0</v>
      </c>
      <c r="J387" s="4">
        <v>38.85706759</v>
      </c>
      <c r="K387" s="4">
        <v>-76.98393349</v>
      </c>
      <c r="L387" s="4">
        <v>0.0</v>
      </c>
      <c r="M387" s="4">
        <v>0.0</v>
      </c>
      <c r="N387" s="4">
        <v>0.0</v>
      </c>
      <c r="O387" s="4">
        <v>1.0</v>
      </c>
      <c r="P387" s="4">
        <v>0.0</v>
      </c>
      <c r="Q387" s="5"/>
      <c r="R387" s="4">
        <v>331735.0</v>
      </c>
      <c r="S387" s="4">
        <v>401393.21</v>
      </c>
      <c r="T387" s="4">
        <v>132139.02</v>
      </c>
      <c r="U387" s="5" t="s">
        <v>1544</v>
      </c>
      <c r="V387" s="5" t="s">
        <v>36</v>
      </c>
      <c r="W387" s="4">
        <v>0.0</v>
      </c>
      <c r="X387" s="4">
        <v>0.0</v>
      </c>
      <c r="Y387" s="4">
        <v>1.0</v>
      </c>
      <c r="Z387" s="4">
        <v>1.0</v>
      </c>
      <c r="AA387" s="4">
        <v>7.0</v>
      </c>
      <c r="AB387" s="4">
        <v>8.0</v>
      </c>
      <c r="AC387" s="5" t="s">
        <v>1545</v>
      </c>
      <c r="AD387" s="5"/>
      <c r="AE387" s="7" t="s">
        <v>50</v>
      </c>
    </row>
    <row r="388">
      <c r="A388" s="4">
        <v>-8568561.1588</v>
      </c>
      <c r="B388" s="4">
        <v>4701028.611</v>
      </c>
      <c r="C388" s="4">
        <v>362391.0</v>
      </c>
      <c r="D388" s="5" t="s">
        <v>45</v>
      </c>
      <c r="E388" s="5" t="s">
        <v>1546</v>
      </c>
      <c r="F388" s="5" t="s">
        <v>1547</v>
      </c>
      <c r="G388" s="5" t="s">
        <v>33</v>
      </c>
      <c r="H388" s="5" t="s">
        <v>34</v>
      </c>
      <c r="I388" s="4">
        <v>1.0</v>
      </c>
      <c r="J388" s="4">
        <v>38.8557062</v>
      </c>
      <c r="K388" s="4">
        <v>-76.97261783</v>
      </c>
      <c r="L388" s="4">
        <v>0.0</v>
      </c>
      <c r="M388" s="4">
        <v>0.0</v>
      </c>
      <c r="N388" s="4">
        <v>1.0</v>
      </c>
      <c r="O388" s="4">
        <v>0.0</v>
      </c>
      <c r="P388" s="4">
        <v>0.0</v>
      </c>
      <c r="Q388" s="5"/>
      <c r="R388" s="4">
        <v>335522.0</v>
      </c>
      <c r="S388" s="4">
        <v>402370.25</v>
      </c>
      <c r="T388" s="4">
        <v>131991.62</v>
      </c>
      <c r="U388" s="5" t="s">
        <v>1548</v>
      </c>
      <c r="V388" s="5" t="s">
        <v>36</v>
      </c>
      <c r="W388" s="4">
        <v>0.0</v>
      </c>
      <c r="X388" s="4">
        <v>0.0</v>
      </c>
      <c r="Y388" s="4">
        <v>1.0</v>
      </c>
      <c r="Z388" s="4">
        <v>1.0</v>
      </c>
      <c r="AA388" s="4">
        <v>7.0</v>
      </c>
      <c r="AB388" s="4">
        <v>8.0</v>
      </c>
      <c r="AC388" s="5" t="s">
        <v>1549</v>
      </c>
      <c r="AD388" s="5"/>
      <c r="AE388" s="7" t="s">
        <v>50</v>
      </c>
    </row>
    <row r="389">
      <c r="A389" s="4">
        <v>-8575149.135</v>
      </c>
      <c r="B389" s="4">
        <v>4710787.6261</v>
      </c>
      <c r="C389" s="4">
        <v>362392.0</v>
      </c>
      <c r="D389" s="5" t="s">
        <v>114</v>
      </c>
      <c r="E389" s="5" t="s">
        <v>1550</v>
      </c>
      <c r="F389" s="5" t="s">
        <v>1551</v>
      </c>
      <c r="G389" s="5" t="s">
        <v>33</v>
      </c>
      <c r="H389" s="5" t="s">
        <v>34</v>
      </c>
      <c r="I389" s="4">
        <v>15.0</v>
      </c>
      <c r="J389" s="4">
        <v>38.92396818</v>
      </c>
      <c r="K389" s="4">
        <v>-77.03187302</v>
      </c>
      <c r="L389" s="4">
        <v>0.0</v>
      </c>
      <c r="M389" s="4">
        <v>1.0</v>
      </c>
      <c r="N389" s="4">
        <v>14.0</v>
      </c>
      <c r="O389" s="4">
        <v>0.0</v>
      </c>
      <c r="P389" s="4">
        <v>0.0</v>
      </c>
      <c r="Q389" s="5"/>
      <c r="R389" s="4">
        <v>335829.0</v>
      </c>
      <c r="S389" s="4">
        <v>397236.14</v>
      </c>
      <c r="T389" s="4">
        <v>139566.45</v>
      </c>
      <c r="U389" s="5" t="s">
        <v>1552</v>
      </c>
      <c r="V389" s="5" t="s">
        <v>36</v>
      </c>
      <c r="W389" s="4">
        <v>0.0</v>
      </c>
      <c r="X389" s="4">
        <v>0.0</v>
      </c>
      <c r="Y389" s="4">
        <v>15.0</v>
      </c>
      <c r="Z389" s="4">
        <v>15.0</v>
      </c>
      <c r="AA389" s="4">
        <v>182.0</v>
      </c>
      <c r="AB389" s="4">
        <v>197.0</v>
      </c>
      <c r="AC389" s="5" t="s">
        <v>1553</v>
      </c>
      <c r="AD389" s="5"/>
      <c r="AE389" s="7" t="s">
        <v>50</v>
      </c>
    </row>
    <row r="390">
      <c r="A390" s="4">
        <v>-8571070.9409</v>
      </c>
      <c r="B390" s="4">
        <v>4704514.4735</v>
      </c>
      <c r="C390" s="4">
        <v>362393.0</v>
      </c>
      <c r="D390" s="5" t="s">
        <v>39</v>
      </c>
      <c r="E390" s="5" t="s">
        <v>1554</v>
      </c>
      <c r="F390" s="5" t="s">
        <v>1555</v>
      </c>
      <c r="G390" s="5" t="s">
        <v>33</v>
      </c>
      <c r="H390" s="5" t="s">
        <v>34</v>
      </c>
      <c r="I390" s="4">
        <v>1.0</v>
      </c>
      <c r="J390" s="4">
        <v>38.8801137</v>
      </c>
      <c r="K390" s="4">
        <v>-76.99523799</v>
      </c>
      <c r="L390" s="4">
        <v>0.0</v>
      </c>
      <c r="M390" s="4">
        <v>0.0</v>
      </c>
      <c r="N390" s="4">
        <v>1.0</v>
      </c>
      <c r="O390" s="4">
        <v>0.0</v>
      </c>
      <c r="P390" s="4">
        <v>0.0</v>
      </c>
      <c r="Q390" s="5"/>
      <c r="R390" s="4">
        <v>78392.0</v>
      </c>
      <c r="S390" s="4">
        <v>400413.19</v>
      </c>
      <c r="T390" s="4">
        <v>134697.74</v>
      </c>
      <c r="U390" s="5" t="s">
        <v>1556</v>
      </c>
      <c r="V390" s="5" t="s">
        <v>36</v>
      </c>
      <c r="W390" s="4">
        <v>0.0</v>
      </c>
      <c r="X390" s="4">
        <v>0.0</v>
      </c>
      <c r="Y390" s="4">
        <v>1.0</v>
      </c>
      <c r="Z390" s="4">
        <v>1.0</v>
      </c>
      <c r="AA390" s="4">
        <v>9.0</v>
      </c>
      <c r="AB390" s="4">
        <v>10.0</v>
      </c>
      <c r="AC390" s="5" t="s">
        <v>1557</v>
      </c>
      <c r="AD390" s="5"/>
      <c r="AE390" s="7" t="s">
        <v>50</v>
      </c>
    </row>
    <row r="391">
      <c r="A391" s="4">
        <v>-8571595.6706</v>
      </c>
      <c r="B391" s="4">
        <v>4702361.6491</v>
      </c>
      <c r="C391" s="4">
        <v>362395.0</v>
      </c>
      <c r="D391" s="5" t="s">
        <v>45</v>
      </c>
      <c r="E391" s="5" t="s">
        <v>1558</v>
      </c>
      <c r="F391" s="5" t="s">
        <v>1559</v>
      </c>
      <c r="G391" s="5" t="s">
        <v>33</v>
      </c>
      <c r="H391" s="5" t="s">
        <v>42</v>
      </c>
      <c r="I391" s="4">
        <v>78.0</v>
      </c>
      <c r="J391" s="4">
        <v>38.86512933</v>
      </c>
      <c r="K391" s="4">
        <v>-77.00074655</v>
      </c>
      <c r="L391" s="4">
        <v>0.0</v>
      </c>
      <c r="M391" s="4">
        <v>15.0</v>
      </c>
      <c r="N391" s="4">
        <v>63.0</v>
      </c>
      <c r="O391" s="4">
        <v>0.0</v>
      </c>
      <c r="P391" s="4">
        <v>0.0</v>
      </c>
      <c r="Q391" s="5" t="s">
        <v>1560</v>
      </c>
      <c r="R391" s="4">
        <v>278584.0</v>
      </c>
      <c r="S391" s="4">
        <v>400004.19</v>
      </c>
      <c r="T391" s="4">
        <v>133026.36</v>
      </c>
      <c r="U391" s="5" t="s">
        <v>1561</v>
      </c>
      <c r="V391" s="5" t="s">
        <v>36</v>
      </c>
      <c r="W391" s="4">
        <v>0.0</v>
      </c>
      <c r="X391" s="4">
        <v>0.0</v>
      </c>
      <c r="Y391" s="4">
        <v>78.0</v>
      </c>
      <c r="Z391" s="4">
        <v>78.0</v>
      </c>
      <c r="AA391" s="4">
        <v>679.0</v>
      </c>
      <c r="AB391" s="4">
        <v>757.0</v>
      </c>
      <c r="AC391" s="5" t="s">
        <v>1562</v>
      </c>
      <c r="AD391" s="5"/>
      <c r="AE391" s="5"/>
    </row>
    <row r="392">
      <c r="A392" s="4">
        <v>-8574591.3752</v>
      </c>
      <c r="B392" s="4">
        <v>4711799.8091</v>
      </c>
      <c r="C392" s="4">
        <v>362401.0</v>
      </c>
      <c r="D392" s="5" t="s">
        <v>114</v>
      </c>
      <c r="E392" s="5" t="s">
        <v>1563</v>
      </c>
      <c r="F392" s="5" t="s">
        <v>1564</v>
      </c>
      <c r="G392" s="5" t="s">
        <v>33</v>
      </c>
      <c r="H392" s="5" t="s">
        <v>34</v>
      </c>
      <c r="I392" s="4">
        <v>34.0</v>
      </c>
      <c r="J392" s="4">
        <v>38.93104877</v>
      </c>
      <c r="K392" s="4">
        <v>-77.02687538</v>
      </c>
      <c r="L392" s="4">
        <v>2.0</v>
      </c>
      <c r="M392" s="4">
        <v>12.0</v>
      </c>
      <c r="N392" s="4">
        <v>17.0</v>
      </c>
      <c r="O392" s="4">
        <v>3.0</v>
      </c>
      <c r="P392" s="4">
        <v>0.0</v>
      </c>
      <c r="Q392" s="5"/>
      <c r="R392" s="4">
        <v>231010.0</v>
      </c>
      <c r="S392" s="4">
        <v>397670.85</v>
      </c>
      <c r="T392" s="4">
        <v>140351.53</v>
      </c>
      <c r="U392" s="5" t="s">
        <v>1565</v>
      </c>
      <c r="V392" s="5" t="s">
        <v>36</v>
      </c>
      <c r="W392" s="4">
        <v>0.0</v>
      </c>
      <c r="X392" s="4">
        <v>34.0</v>
      </c>
      <c r="Y392" s="4">
        <v>0.0</v>
      </c>
      <c r="Z392" s="4">
        <v>34.0</v>
      </c>
      <c r="AA392" s="4">
        <v>0.0</v>
      </c>
      <c r="AB392" s="4">
        <v>34.0</v>
      </c>
      <c r="AC392" s="5" t="s">
        <v>1566</v>
      </c>
      <c r="AD392" s="5"/>
      <c r="AE392" s="7" t="s">
        <v>50</v>
      </c>
    </row>
    <row r="393">
      <c r="A393" s="4">
        <v>-8568297.0272</v>
      </c>
      <c r="B393" s="4">
        <v>4700742.6369</v>
      </c>
      <c r="C393" s="4">
        <v>362402.0</v>
      </c>
      <c r="D393" s="5" t="s">
        <v>45</v>
      </c>
      <c r="E393" s="5" t="s">
        <v>1567</v>
      </c>
      <c r="F393" s="5" t="s">
        <v>1568</v>
      </c>
      <c r="G393" s="5" t="s">
        <v>33</v>
      </c>
      <c r="H393" s="5" t="s">
        <v>34</v>
      </c>
      <c r="I393" s="4">
        <v>8.0</v>
      </c>
      <c r="J393" s="4">
        <v>38.85373222</v>
      </c>
      <c r="K393" s="4">
        <v>-76.97031951</v>
      </c>
      <c r="L393" s="4">
        <v>0.0</v>
      </c>
      <c r="M393" s="4">
        <v>0.0</v>
      </c>
      <c r="N393" s="4">
        <v>0.0</v>
      </c>
      <c r="O393" s="4">
        <v>8.0</v>
      </c>
      <c r="P393" s="4">
        <v>0.0</v>
      </c>
      <c r="Q393" s="5"/>
      <c r="R393" s="4">
        <v>46776.0</v>
      </c>
      <c r="S393" s="4">
        <v>402576.27</v>
      </c>
      <c r="T393" s="4">
        <v>131769.61</v>
      </c>
      <c r="U393" s="5" t="s">
        <v>1569</v>
      </c>
      <c r="V393" s="5" t="s">
        <v>36</v>
      </c>
      <c r="W393" s="4">
        <v>0.0</v>
      </c>
      <c r="X393" s="4">
        <v>8.0</v>
      </c>
      <c r="Y393" s="4">
        <v>0.0</v>
      </c>
      <c r="Z393" s="4">
        <v>8.0</v>
      </c>
      <c r="AA393" s="4">
        <v>0.0</v>
      </c>
      <c r="AB393" s="4">
        <v>8.0</v>
      </c>
      <c r="AC393" s="5" t="s">
        <v>1570</v>
      </c>
      <c r="AD393" s="5"/>
      <c r="AE393" s="7" t="s">
        <v>50</v>
      </c>
    </row>
    <row r="394">
      <c r="A394" s="4">
        <v>-8572694.4304</v>
      </c>
      <c r="B394" s="4">
        <v>4716004.367</v>
      </c>
      <c r="C394" s="4">
        <v>362403.0</v>
      </c>
      <c r="D394" s="5" t="s">
        <v>51</v>
      </c>
      <c r="E394" s="5" t="s">
        <v>1571</v>
      </c>
      <c r="F394" s="5" t="s">
        <v>1572</v>
      </c>
      <c r="G394" s="5" t="s">
        <v>33</v>
      </c>
      <c r="H394" s="5" t="s">
        <v>34</v>
      </c>
      <c r="I394" s="4">
        <v>18.0</v>
      </c>
      <c r="J394" s="4">
        <v>38.96041746</v>
      </c>
      <c r="K394" s="4">
        <v>-77.00982204</v>
      </c>
      <c r="L394" s="4">
        <v>4.0</v>
      </c>
      <c r="M394" s="4">
        <v>14.0</v>
      </c>
      <c r="N394" s="4">
        <v>0.0</v>
      </c>
      <c r="O394" s="4">
        <v>0.0</v>
      </c>
      <c r="P394" s="4">
        <v>0.0</v>
      </c>
      <c r="Q394" s="5"/>
      <c r="R394" s="4">
        <v>245617.0</v>
      </c>
      <c r="S394" s="4">
        <v>399148.72</v>
      </c>
      <c r="T394" s="4">
        <v>143612.17</v>
      </c>
      <c r="U394" s="5" t="s">
        <v>1573</v>
      </c>
      <c r="V394" s="5" t="s">
        <v>36</v>
      </c>
      <c r="W394" s="4">
        <v>0.0</v>
      </c>
      <c r="X394" s="4">
        <v>18.0</v>
      </c>
      <c r="Y394" s="4">
        <v>0.0</v>
      </c>
      <c r="Z394" s="4">
        <v>18.0</v>
      </c>
      <c r="AA394" s="4">
        <v>2.0</v>
      </c>
      <c r="AB394" s="4">
        <v>20.0</v>
      </c>
      <c r="AC394" s="5" t="s">
        <v>1574</v>
      </c>
      <c r="AD394" s="5"/>
      <c r="AE394" s="7" t="s">
        <v>50</v>
      </c>
    </row>
    <row r="395">
      <c r="A395" s="4">
        <v>-8575006.7662</v>
      </c>
      <c r="B395" s="4">
        <v>4712090.5949</v>
      </c>
      <c r="C395" s="4">
        <v>362404.0</v>
      </c>
      <c r="D395" s="5" t="s">
        <v>114</v>
      </c>
      <c r="E395" s="5" t="s">
        <v>1575</v>
      </c>
      <c r="F395" s="5" t="s">
        <v>1576</v>
      </c>
      <c r="G395" s="5" t="s">
        <v>33</v>
      </c>
      <c r="H395" s="5" t="s">
        <v>496</v>
      </c>
      <c r="I395" s="4">
        <v>96.0</v>
      </c>
      <c r="J395" s="4">
        <v>38.93307367</v>
      </c>
      <c r="K395" s="4">
        <v>-77.0305941</v>
      </c>
      <c r="L395" s="4">
        <v>16.0</v>
      </c>
      <c r="M395" s="4">
        <v>38.0</v>
      </c>
      <c r="N395" s="4">
        <v>30.0</v>
      </c>
      <c r="O395" s="4">
        <v>12.0</v>
      </c>
      <c r="P395" s="4">
        <v>0.0</v>
      </c>
      <c r="Q395" s="5"/>
      <c r="R395" s="4">
        <v>230675.0</v>
      </c>
      <c r="S395" s="4">
        <v>397347.38</v>
      </c>
      <c r="T395" s="4">
        <v>140577.2</v>
      </c>
      <c r="U395" s="5" t="s">
        <v>1577</v>
      </c>
      <c r="V395" s="5" t="s">
        <v>36</v>
      </c>
      <c r="W395" s="4">
        <v>0.0</v>
      </c>
      <c r="X395" s="4">
        <v>96.0</v>
      </c>
      <c r="Y395" s="4">
        <v>0.0</v>
      </c>
      <c r="Z395" s="4">
        <v>96.0</v>
      </c>
      <c r="AA395" s="4">
        <v>4.0</v>
      </c>
      <c r="AB395" s="4">
        <v>100.0</v>
      </c>
      <c r="AC395" s="5" t="s">
        <v>245</v>
      </c>
      <c r="AD395" s="5"/>
      <c r="AE395" s="7" t="s">
        <v>50</v>
      </c>
    </row>
    <row r="396">
      <c r="A396" s="4">
        <v>-8574061.2328</v>
      </c>
      <c r="B396" s="4">
        <v>4715448.6577</v>
      </c>
      <c r="C396" s="4">
        <v>362405.0</v>
      </c>
      <c r="D396" s="5" t="s">
        <v>51</v>
      </c>
      <c r="E396" s="5" t="s">
        <v>1578</v>
      </c>
      <c r="F396" s="5" t="s">
        <v>1579</v>
      </c>
      <c r="G396" s="5" t="s">
        <v>310</v>
      </c>
      <c r="H396" s="5" t="s">
        <v>34</v>
      </c>
      <c r="I396" s="4">
        <v>3.0</v>
      </c>
      <c r="J396" s="4">
        <v>38.95653566</v>
      </c>
      <c r="K396" s="4">
        <v>-77.02210023</v>
      </c>
      <c r="L396" s="4">
        <v>0.0</v>
      </c>
      <c r="M396" s="4">
        <v>3.0</v>
      </c>
      <c r="N396" s="4">
        <v>0.0</v>
      </c>
      <c r="O396" s="4">
        <v>0.0</v>
      </c>
      <c r="P396" s="4">
        <v>0.0</v>
      </c>
      <c r="Q396" s="5"/>
      <c r="R396" s="4">
        <v>246736.0</v>
      </c>
      <c r="S396" s="4">
        <v>398084.46</v>
      </c>
      <c r="T396" s="4">
        <v>143181.44</v>
      </c>
      <c r="U396" s="5" t="s">
        <v>1580</v>
      </c>
      <c r="V396" s="5" t="s">
        <v>36</v>
      </c>
      <c r="W396" s="4">
        <v>0.0</v>
      </c>
      <c r="X396" s="4">
        <v>0.0</v>
      </c>
      <c r="Y396" s="4">
        <v>3.0</v>
      </c>
      <c r="Z396" s="4">
        <v>3.0</v>
      </c>
      <c r="AA396" s="4">
        <v>18.0</v>
      </c>
      <c r="AB396" s="4">
        <v>21.0</v>
      </c>
      <c r="AC396" s="5"/>
      <c r="AD396" s="5"/>
      <c r="AE396" s="7" t="s">
        <v>1138</v>
      </c>
    </row>
    <row r="397">
      <c r="A397" s="4">
        <v>-8573839.2914</v>
      </c>
      <c r="B397" s="4">
        <v>4715465.8733</v>
      </c>
      <c r="C397" s="4">
        <v>362407.0</v>
      </c>
      <c r="D397" s="5" t="s">
        <v>51</v>
      </c>
      <c r="E397" s="5" t="s">
        <v>1581</v>
      </c>
      <c r="F397" s="5" t="s">
        <v>1582</v>
      </c>
      <c r="G397" s="5" t="s">
        <v>33</v>
      </c>
      <c r="H397" s="5" t="s">
        <v>34</v>
      </c>
      <c r="I397" s="4">
        <v>2.0</v>
      </c>
      <c r="J397" s="4">
        <v>38.95665558</v>
      </c>
      <c r="K397" s="4">
        <v>-77.0201065</v>
      </c>
      <c r="L397" s="4">
        <v>0.0</v>
      </c>
      <c r="M397" s="4">
        <v>1.0</v>
      </c>
      <c r="N397" s="4">
        <v>1.0</v>
      </c>
      <c r="O397" s="4">
        <v>0.0</v>
      </c>
      <c r="P397" s="4">
        <v>0.0</v>
      </c>
      <c r="Q397" s="5"/>
      <c r="R397" s="4">
        <v>246727.0</v>
      </c>
      <c r="S397" s="4">
        <v>398257.27</v>
      </c>
      <c r="T397" s="4">
        <v>143194.75</v>
      </c>
      <c r="U397" s="5" t="s">
        <v>1583</v>
      </c>
      <c r="V397" s="5" t="s">
        <v>36</v>
      </c>
      <c r="W397" s="4">
        <v>0.0</v>
      </c>
      <c r="X397" s="4">
        <v>0.0</v>
      </c>
      <c r="Y397" s="4">
        <v>2.0</v>
      </c>
      <c r="Z397" s="4">
        <v>2.0</v>
      </c>
      <c r="AA397" s="4">
        <v>23.0</v>
      </c>
      <c r="AB397" s="4">
        <v>25.0</v>
      </c>
      <c r="AC397" s="5" t="s">
        <v>1584</v>
      </c>
      <c r="AD397" s="5"/>
      <c r="AE397" s="7" t="s">
        <v>50</v>
      </c>
    </row>
    <row r="398">
      <c r="A398" s="4">
        <v>-8574574.8527</v>
      </c>
      <c r="B398" s="4">
        <v>4708544.2752</v>
      </c>
      <c r="C398" s="4">
        <v>362412.0</v>
      </c>
      <c r="D398" s="5" t="s">
        <v>442</v>
      </c>
      <c r="E398" s="5" t="s">
        <v>1585</v>
      </c>
      <c r="F398" s="5" t="s">
        <v>1586</v>
      </c>
      <c r="G398" s="5" t="s">
        <v>33</v>
      </c>
      <c r="H398" s="5" t="s">
        <v>34</v>
      </c>
      <c r="I398" s="4">
        <v>2.0</v>
      </c>
      <c r="J398" s="4">
        <v>38.90836396</v>
      </c>
      <c r="K398" s="4">
        <v>-77.02677979</v>
      </c>
      <c r="L398" s="4">
        <v>0.0</v>
      </c>
      <c r="M398" s="4">
        <v>0.0</v>
      </c>
      <c r="N398" s="4">
        <v>2.0</v>
      </c>
      <c r="O398" s="4">
        <v>0.0</v>
      </c>
      <c r="P398" s="4">
        <v>0.0</v>
      </c>
      <c r="Q398" s="5"/>
      <c r="R398" s="4">
        <v>239319.0</v>
      </c>
      <c r="S398" s="4">
        <v>397682.98</v>
      </c>
      <c r="T398" s="4">
        <v>137825.71</v>
      </c>
      <c r="U398" s="5" t="s">
        <v>1587</v>
      </c>
      <c r="V398" s="5" t="s">
        <v>36</v>
      </c>
      <c r="W398" s="4">
        <v>0.0</v>
      </c>
      <c r="X398" s="4">
        <v>0.0</v>
      </c>
      <c r="Y398" s="4">
        <v>2.0</v>
      </c>
      <c r="Z398" s="4">
        <v>2.0</v>
      </c>
      <c r="AA398" s="4">
        <v>20.0</v>
      </c>
      <c r="AB398" s="4">
        <v>22.0</v>
      </c>
      <c r="AC398" s="5" t="s">
        <v>1588</v>
      </c>
      <c r="AD398" s="5"/>
      <c r="AE398" s="7" t="s">
        <v>50</v>
      </c>
    </row>
    <row r="399">
      <c r="A399" s="4">
        <v>-8571141.0016</v>
      </c>
      <c r="B399" s="4">
        <v>4707679.7242</v>
      </c>
      <c r="C399" s="4">
        <v>362413.0</v>
      </c>
      <c r="D399" s="5" t="s">
        <v>39</v>
      </c>
      <c r="E399" s="5" t="s">
        <v>1589</v>
      </c>
      <c r="F399" s="5" t="s">
        <v>1590</v>
      </c>
      <c r="G399" s="5" t="s">
        <v>33</v>
      </c>
      <c r="H399" s="5" t="s">
        <v>34</v>
      </c>
      <c r="I399" s="4">
        <v>12.0</v>
      </c>
      <c r="J399" s="4">
        <v>38.90224462</v>
      </c>
      <c r="K399" s="4">
        <v>-76.99586736</v>
      </c>
      <c r="L399" s="4">
        <v>1.0</v>
      </c>
      <c r="M399" s="4">
        <v>11.0</v>
      </c>
      <c r="N399" s="4">
        <v>0.0</v>
      </c>
      <c r="O399" s="4">
        <v>0.0</v>
      </c>
      <c r="P399" s="4">
        <v>0.0</v>
      </c>
      <c r="Q399" s="5"/>
      <c r="R399" s="4">
        <v>151117.0</v>
      </c>
      <c r="S399" s="4">
        <v>400358.47</v>
      </c>
      <c r="T399" s="4">
        <v>137154.48</v>
      </c>
      <c r="U399" s="5" t="s">
        <v>1591</v>
      </c>
      <c r="V399" s="5" t="s">
        <v>36</v>
      </c>
      <c r="W399" s="4">
        <v>0.0</v>
      </c>
      <c r="X399" s="4">
        <v>12.0</v>
      </c>
      <c r="Y399" s="4">
        <v>0.0</v>
      </c>
      <c r="Z399" s="4">
        <v>12.0</v>
      </c>
      <c r="AA399" s="4">
        <v>6.0</v>
      </c>
      <c r="AB399" s="4">
        <v>18.0</v>
      </c>
      <c r="AC399" s="5" t="s">
        <v>750</v>
      </c>
      <c r="AD399" s="5"/>
      <c r="AE399" s="7" t="s">
        <v>50</v>
      </c>
    </row>
    <row r="400">
      <c r="A400" s="4">
        <v>-8574311.6729</v>
      </c>
      <c r="B400" s="4">
        <v>4712870.3413</v>
      </c>
      <c r="C400" s="4">
        <v>362414.0</v>
      </c>
      <c r="D400" s="5" t="s">
        <v>51</v>
      </c>
      <c r="E400" s="5" t="s">
        <v>1592</v>
      </c>
      <c r="F400" s="5" t="s">
        <v>1593</v>
      </c>
      <c r="G400" s="5" t="s">
        <v>33</v>
      </c>
      <c r="H400" s="5" t="s">
        <v>34</v>
      </c>
      <c r="I400" s="4">
        <v>2.0</v>
      </c>
      <c r="J400" s="4">
        <v>38.93852677</v>
      </c>
      <c r="K400" s="4">
        <v>-77.02442356</v>
      </c>
      <c r="L400" s="4">
        <v>0.0</v>
      </c>
      <c r="M400" s="4">
        <v>0.0</v>
      </c>
      <c r="N400" s="4">
        <v>2.0</v>
      </c>
      <c r="O400" s="4">
        <v>0.0</v>
      </c>
      <c r="P400" s="4">
        <v>0.0</v>
      </c>
      <c r="Q400" s="5"/>
      <c r="R400" s="4">
        <v>252565.0</v>
      </c>
      <c r="S400" s="4">
        <v>397888.93</v>
      </c>
      <c r="T400" s="4">
        <v>141181.87</v>
      </c>
      <c r="U400" s="5" t="s">
        <v>1594</v>
      </c>
      <c r="V400" s="5" t="s">
        <v>36</v>
      </c>
      <c r="W400" s="4">
        <v>0.0</v>
      </c>
      <c r="X400" s="4">
        <v>0.0</v>
      </c>
      <c r="Y400" s="4">
        <v>2.0</v>
      </c>
      <c r="Z400" s="4">
        <v>2.0</v>
      </c>
      <c r="AA400" s="4">
        <v>13.0</v>
      </c>
      <c r="AB400" s="4">
        <v>15.0</v>
      </c>
      <c r="AC400" s="5" t="s">
        <v>1595</v>
      </c>
      <c r="AD400" s="5"/>
      <c r="AE400" s="7" t="s">
        <v>50</v>
      </c>
    </row>
    <row r="401">
      <c r="A401" s="4">
        <v>-8572069.2438</v>
      </c>
      <c r="B401" s="4">
        <v>4708918.1218</v>
      </c>
      <c r="C401" s="4">
        <v>362419.0</v>
      </c>
      <c r="D401" s="5" t="s">
        <v>56</v>
      </c>
      <c r="E401" s="5" t="s">
        <v>1596</v>
      </c>
      <c r="F401" s="5" t="s">
        <v>1597</v>
      </c>
      <c r="G401" s="5" t="s">
        <v>33</v>
      </c>
      <c r="H401" s="5" t="s">
        <v>1598</v>
      </c>
      <c r="I401" s="4">
        <v>350.0</v>
      </c>
      <c r="J401" s="4">
        <v>38.91090155</v>
      </c>
      <c r="K401" s="4">
        <v>-77.0042059</v>
      </c>
      <c r="L401" s="4">
        <v>0.0</v>
      </c>
      <c r="M401" s="4">
        <v>0.0</v>
      </c>
      <c r="N401" s="4">
        <v>48.0</v>
      </c>
      <c r="O401" s="4">
        <v>302.0</v>
      </c>
      <c r="P401" s="4">
        <v>0.0</v>
      </c>
      <c r="Q401" s="5"/>
      <c r="R401" s="4">
        <v>307165.0</v>
      </c>
      <c r="S401" s="4">
        <v>399635.22</v>
      </c>
      <c r="T401" s="4">
        <v>138115.47</v>
      </c>
      <c r="U401" s="5" t="s">
        <v>1599</v>
      </c>
      <c r="V401" s="5" t="s">
        <v>36</v>
      </c>
      <c r="W401" s="4">
        <v>48.0</v>
      </c>
      <c r="X401" s="4">
        <v>302.0</v>
      </c>
      <c r="Y401" s="4">
        <v>0.0</v>
      </c>
      <c r="Z401" s="4">
        <v>302.0</v>
      </c>
      <c r="AA401" s="4">
        <v>0.0</v>
      </c>
      <c r="AB401" s="4">
        <v>350.0</v>
      </c>
      <c r="AC401" s="5" t="s">
        <v>1600</v>
      </c>
      <c r="AD401" s="5"/>
      <c r="AE401" s="7" t="s">
        <v>50</v>
      </c>
    </row>
    <row r="402">
      <c r="A402" s="4">
        <v>-8574064.0111</v>
      </c>
      <c r="B402" s="4">
        <v>4710094.2551</v>
      </c>
      <c r="C402" s="4">
        <v>362421.0</v>
      </c>
      <c r="D402" s="5" t="s">
        <v>114</v>
      </c>
      <c r="E402" s="5" t="s">
        <v>1601</v>
      </c>
      <c r="F402" s="5" t="s">
        <v>1602</v>
      </c>
      <c r="G402" s="5" t="s">
        <v>310</v>
      </c>
      <c r="H402" s="5" t="s">
        <v>34</v>
      </c>
      <c r="I402" s="4">
        <v>35.0</v>
      </c>
      <c r="J402" s="4">
        <v>38.91912258</v>
      </c>
      <c r="K402" s="4">
        <v>-77.02212519</v>
      </c>
      <c r="L402" s="4">
        <v>0.0</v>
      </c>
      <c r="M402" s="4">
        <v>2.0</v>
      </c>
      <c r="N402" s="4">
        <v>33.0</v>
      </c>
      <c r="O402" s="4">
        <v>0.0</v>
      </c>
      <c r="P402" s="4">
        <v>0.0</v>
      </c>
      <c r="Q402" s="5"/>
      <c r="R402" s="4">
        <v>284269.0</v>
      </c>
      <c r="S402" s="4">
        <v>398081.29</v>
      </c>
      <c r="T402" s="4">
        <v>139028.26</v>
      </c>
      <c r="U402" s="5" t="s">
        <v>1603</v>
      </c>
      <c r="V402" s="5" t="s">
        <v>36</v>
      </c>
      <c r="W402" s="4">
        <v>0.0</v>
      </c>
      <c r="X402" s="4">
        <v>0.0</v>
      </c>
      <c r="Y402" s="4">
        <v>35.0</v>
      </c>
      <c r="Z402" s="4">
        <v>35.0</v>
      </c>
      <c r="AA402" s="4">
        <v>402.0</v>
      </c>
      <c r="AB402" s="4">
        <v>437.0</v>
      </c>
      <c r="AC402" s="5"/>
      <c r="AD402" s="5"/>
      <c r="AE402" s="7" t="s">
        <v>1138</v>
      </c>
    </row>
    <row r="403">
      <c r="A403" s="4">
        <v>-8572854.107</v>
      </c>
      <c r="B403" s="4">
        <v>4715480.4349</v>
      </c>
      <c r="C403" s="4">
        <v>362423.0</v>
      </c>
      <c r="D403" s="5" t="s">
        <v>51</v>
      </c>
      <c r="E403" s="5" t="s">
        <v>1604</v>
      </c>
      <c r="F403" s="5" t="s">
        <v>1605</v>
      </c>
      <c r="G403" s="5" t="s">
        <v>310</v>
      </c>
      <c r="H403" s="5" t="s">
        <v>34</v>
      </c>
      <c r="I403" s="4">
        <v>4.0</v>
      </c>
      <c r="J403" s="4">
        <v>38.95675763</v>
      </c>
      <c r="K403" s="4">
        <v>-77.01125644</v>
      </c>
      <c r="L403" s="4">
        <v>0.0</v>
      </c>
      <c r="M403" s="4">
        <v>0.0</v>
      </c>
      <c r="N403" s="4">
        <v>0.0</v>
      </c>
      <c r="O403" s="4">
        <v>4.0</v>
      </c>
      <c r="P403" s="4">
        <v>0.0</v>
      </c>
      <c r="Q403" s="5"/>
      <c r="R403" s="4">
        <v>300721.0</v>
      </c>
      <c r="S403" s="4">
        <v>399024.35</v>
      </c>
      <c r="T403" s="4">
        <v>143205.91</v>
      </c>
      <c r="U403" s="5" t="s">
        <v>1606</v>
      </c>
      <c r="V403" s="5" t="s">
        <v>36</v>
      </c>
      <c r="W403" s="4">
        <v>0.0</v>
      </c>
      <c r="X403" s="4">
        <v>0.0</v>
      </c>
      <c r="Y403" s="4">
        <v>4.0</v>
      </c>
      <c r="Z403" s="4">
        <v>4.0</v>
      </c>
      <c r="AA403" s="4">
        <v>38.0</v>
      </c>
      <c r="AB403" s="4">
        <v>42.0</v>
      </c>
      <c r="AC403" s="5"/>
      <c r="AD403" s="5"/>
      <c r="AE403" s="7" t="s">
        <v>1138</v>
      </c>
    </row>
    <row r="404">
      <c r="A404" s="4">
        <v>-8573718.551</v>
      </c>
      <c r="B404" s="4">
        <v>4711876.7187</v>
      </c>
      <c r="C404" s="4">
        <v>362424.0</v>
      </c>
      <c r="D404" s="5" t="s">
        <v>114</v>
      </c>
      <c r="E404" s="5" t="s">
        <v>1607</v>
      </c>
      <c r="F404" s="5" t="s">
        <v>1608</v>
      </c>
      <c r="G404" s="5" t="s">
        <v>33</v>
      </c>
      <c r="H404" s="5" t="s">
        <v>34</v>
      </c>
      <c r="I404" s="4">
        <v>1.0</v>
      </c>
      <c r="J404" s="4">
        <v>38.93160868</v>
      </c>
      <c r="K404" s="4">
        <v>-77.01903549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5"/>
      <c r="R404" s="4">
        <v>336367.0</v>
      </c>
      <c r="S404" s="4">
        <v>398350.7</v>
      </c>
      <c r="T404" s="4">
        <v>140411.02</v>
      </c>
      <c r="U404" s="5" t="s">
        <v>1609</v>
      </c>
      <c r="V404" s="5" t="s">
        <v>36</v>
      </c>
      <c r="W404" s="4">
        <v>0.0</v>
      </c>
      <c r="X404" s="4">
        <v>0.0</v>
      </c>
      <c r="Y404" s="4">
        <v>1.0</v>
      </c>
      <c r="Z404" s="4">
        <v>1.0</v>
      </c>
      <c r="AA404" s="4">
        <v>3.0</v>
      </c>
      <c r="AB404" s="4">
        <v>4.0</v>
      </c>
      <c r="AC404" s="5" t="s">
        <v>1610</v>
      </c>
      <c r="AD404" s="5"/>
      <c r="AE404" s="7" t="s">
        <v>50</v>
      </c>
    </row>
    <row r="405">
      <c r="A405" s="4">
        <v>-8571088.0972</v>
      </c>
      <c r="B405" s="4">
        <v>4701386.0917</v>
      </c>
      <c r="C405" s="4">
        <v>362425.0</v>
      </c>
      <c r="D405" s="5" t="s">
        <v>45</v>
      </c>
      <c r="E405" s="5" t="s">
        <v>1611</v>
      </c>
      <c r="F405" s="5" t="s">
        <v>1612</v>
      </c>
      <c r="G405" s="5" t="s">
        <v>310</v>
      </c>
      <c r="H405" s="5" t="s">
        <v>34</v>
      </c>
      <c r="I405" s="4">
        <v>1.0</v>
      </c>
      <c r="J405" s="4">
        <v>38.85823345</v>
      </c>
      <c r="K405" s="4">
        <v>-76.99539211</v>
      </c>
      <c r="L405" s="4">
        <v>0.0</v>
      </c>
      <c r="M405" s="4">
        <v>1.0</v>
      </c>
      <c r="N405" s="4">
        <v>0.0</v>
      </c>
      <c r="O405" s="4">
        <v>0.0</v>
      </c>
      <c r="P405" s="4">
        <v>0.0</v>
      </c>
      <c r="Q405" s="5"/>
      <c r="R405" s="4">
        <v>45636.0</v>
      </c>
      <c r="S405" s="4">
        <v>400399.94</v>
      </c>
      <c r="T405" s="4">
        <v>132268.87</v>
      </c>
      <c r="U405" s="5" t="s">
        <v>1613</v>
      </c>
      <c r="V405" s="5" t="s">
        <v>36</v>
      </c>
      <c r="W405" s="4">
        <v>0.0</v>
      </c>
      <c r="X405" s="4">
        <v>0.0</v>
      </c>
      <c r="Y405" s="4">
        <v>1.0</v>
      </c>
      <c r="Z405" s="4">
        <v>1.0</v>
      </c>
      <c r="AA405" s="4">
        <v>9.0</v>
      </c>
      <c r="AB405" s="4">
        <v>10.0</v>
      </c>
      <c r="AC405" s="5"/>
      <c r="AD405" s="5"/>
      <c r="AE405" s="7" t="s">
        <v>1138</v>
      </c>
    </row>
    <row r="406">
      <c r="A406" s="4">
        <v>-8570259.4906</v>
      </c>
      <c r="B406" s="4">
        <v>4706712.8481</v>
      </c>
      <c r="C406" s="4">
        <v>362427.0</v>
      </c>
      <c r="D406" s="5" t="s">
        <v>39</v>
      </c>
      <c r="E406" s="5" t="s">
        <v>1614</v>
      </c>
      <c r="F406" s="5" t="s">
        <v>1615</v>
      </c>
      <c r="G406" s="5" t="s">
        <v>33</v>
      </c>
      <c r="H406" s="5" t="s">
        <v>34</v>
      </c>
      <c r="I406" s="4">
        <v>1.0</v>
      </c>
      <c r="J406" s="4">
        <v>38.89548555</v>
      </c>
      <c r="K406" s="4">
        <v>-76.98803265</v>
      </c>
      <c r="L406" s="4">
        <v>0.0</v>
      </c>
      <c r="M406" s="4">
        <v>1.0</v>
      </c>
      <c r="N406" s="4">
        <v>0.0</v>
      </c>
      <c r="O406" s="4">
        <v>0.0</v>
      </c>
      <c r="P406" s="4">
        <v>0.0</v>
      </c>
      <c r="Q406" s="5"/>
      <c r="R406" s="4">
        <v>24760.0</v>
      </c>
      <c r="S406" s="4">
        <v>401045.45</v>
      </c>
      <c r="T406" s="4">
        <v>136404.17</v>
      </c>
      <c r="U406" s="5" t="s">
        <v>1616</v>
      </c>
      <c r="V406" s="5" t="s">
        <v>36</v>
      </c>
      <c r="W406" s="4">
        <v>0.0</v>
      </c>
      <c r="X406" s="4">
        <v>0.0</v>
      </c>
      <c r="Y406" s="4">
        <v>1.0</v>
      </c>
      <c r="Z406" s="4">
        <v>1.0</v>
      </c>
      <c r="AA406" s="4">
        <v>10.0</v>
      </c>
      <c r="AB406" s="4">
        <v>11.0</v>
      </c>
      <c r="AC406" s="5" t="s">
        <v>1617</v>
      </c>
      <c r="AD406" s="5"/>
      <c r="AE406" s="7" t="s">
        <v>50</v>
      </c>
    </row>
    <row r="407">
      <c r="A407" s="4">
        <v>-8575423.8802</v>
      </c>
      <c r="B407" s="4">
        <v>4710782.8083</v>
      </c>
      <c r="C407" s="4">
        <v>362430.0</v>
      </c>
      <c r="D407" s="5" t="s">
        <v>114</v>
      </c>
      <c r="E407" s="5" t="s">
        <v>1618</v>
      </c>
      <c r="F407" s="5" t="s">
        <v>1619</v>
      </c>
      <c r="G407" s="5" t="s">
        <v>33</v>
      </c>
      <c r="H407" s="5" t="s">
        <v>34</v>
      </c>
      <c r="I407" s="4">
        <v>1.0</v>
      </c>
      <c r="J407" s="4">
        <v>38.92393485</v>
      </c>
      <c r="K407" s="4">
        <v>-77.0343411</v>
      </c>
      <c r="L407" s="4">
        <v>0.0</v>
      </c>
      <c r="M407" s="4">
        <v>1.0</v>
      </c>
      <c r="N407" s="4">
        <v>0.0</v>
      </c>
      <c r="O407" s="4">
        <v>0.0</v>
      </c>
      <c r="P407" s="4">
        <v>0.0</v>
      </c>
      <c r="Q407" s="5"/>
      <c r="R407" s="4">
        <v>234278.0</v>
      </c>
      <c r="S407" s="4">
        <v>397022.12</v>
      </c>
      <c r="T407" s="4">
        <v>139562.79</v>
      </c>
      <c r="U407" s="5" t="s">
        <v>1620</v>
      </c>
      <c r="V407" s="5" t="s">
        <v>36</v>
      </c>
      <c r="W407" s="4">
        <v>0.0</v>
      </c>
      <c r="X407" s="4">
        <v>0.0</v>
      </c>
      <c r="Y407" s="4">
        <v>1.0</v>
      </c>
      <c r="Z407" s="4">
        <v>1.0</v>
      </c>
      <c r="AA407" s="4">
        <v>9.0</v>
      </c>
      <c r="AB407" s="4">
        <v>10.0</v>
      </c>
      <c r="AC407" s="5" t="s">
        <v>1621</v>
      </c>
      <c r="AD407" s="5"/>
      <c r="AE407" s="7" t="s">
        <v>50</v>
      </c>
    </row>
    <row r="408">
      <c r="A408" s="4">
        <v>-8568842.1635</v>
      </c>
      <c r="B408" s="4">
        <v>4703097.2975</v>
      </c>
      <c r="C408" s="4">
        <v>362431.0</v>
      </c>
      <c r="D408" s="5" t="s">
        <v>45</v>
      </c>
      <c r="E408" s="5" t="s">
        <v>1622</v>
      </c>
      <c r="F408" s="5" t="s">
        <v>1623</v>
      </c>
      <c r="G408" s="5" t="s">
        <v>310</v>
      </c>
      <c r="H408" s="5" t="s">
        <v>34</v>
      </c>
      <c r="I408" s="4">
        <v>2.0</v>
      </c>
      <c r="J408" s="4">
        <v>38.87020265</v>
      </c>
      <c r="K408" s="4">
        <v>-76.97521655</v>
      </c>
      <c r="L408" s="4">
        <v>0.0</v>
      </c>
      <c r="M408" s="4">
        <v>2.0</v>
      </c>
      <c r="N408" s="4">
        <v>0.0</v>
      </c>
      <c r="O408" s="4">
        <v>0.0</v>
      </c>
      <c r="P408" s="4">
        <v>0.0</v>
      </c>
      <c r="Q408" s="5"/>
      <c r="R408" s="4">
        <v>59774.0</v>
      </c>
      <c r="S408" s="4">
        <v>402150.71</v>
      </c>
      <c r="T408" s="4">
        <v>133597.82</v>
      </c>
      <c r="U408" s="5" t="s">
        <v>1624</v>
      </c>
      <c r="V408" s="5" t="s">
        <v>36</v>
      </c>
      <c r="W408" s="4">
        <v>0.0</v>
      </c>
      <c r="X408" s="4">
        <v>0.0</v>
      </c>
      <c r="Y408" s="4">
        <v>2.0</v>
      </c>
      <c r="Z408" s="4">
        <v>2.0</v>
      </c>
      <c r="AA408" s="4">
        <v>16.0</v>
      </c>
      <c r="AB408" s="4">
        <v>18.0</v>
      </c>
      <c r="AC408" s="5"/>
      <c r="AD408" s="5"/>
      <c r="AE408" s="7" t="s">
        <v>1138</v>
      </c>
    </row>
    <row r="409">
      <c r="A409" s="4">
        <v>-8568926.489</v>
      </c>
      <c r="B409" s="4">
        <v>4707764.7766</v>
      </c>
      <c r="C409" s="4">
        <v>362433.0</v>
      </c>
      <c r="D409" s="5" t="s">
        <v>56</v>
      </c>
      <c r="E409" s="5" t="s">
        <v>1625</v>
      </c>
      <c r="F409" s="5" t="s">
        <v>1626</v>
      </c>
      <c r="G409" s="5" t="s">
        <v>310</v>
      </c>
      <c r="H409" s="5" t="s">
        <v>34</v>
      </c>
      <c r="I409" s="4">
        <v>1.0</v>
      </c>
      <c r="J409" s="4">
        <v>38.90283954</v>
      </c>
      <c r="K409" s="4">
        <v>-76.97597406</v>
      </c>
      <c r="L409" s="4">
        <v>0.0</v>
      </c>
      <c r="M409" s="4">
        <v>0.0</v>
      </c>
      <c r="N409" s="4">
        <v>0.0</v>
      </c>
      <c r="O409" s="4">
        <v>1.0</v>
      </c>
      <c r="P409" s="4">
        <v>0.0</v>
      </c>
      <c r="Q409" s="5"/>
      <c r="R409" s="4">
        <v>82747.0</v>
      </c>
      <c r="S409" s="4">
        <v>402084.02</v>
      </c>
      <c r="T409" s="4">
        <v>137220.75</v>
      </c>
      <c r="U409" s="5" t="s">
        <v>1627</v>
      </c>
      <c r="V409" s="5" t="s">
        <v>36</v>
      </c>
      <c r="W409" s="4">
        <v>0.0</v>
      </c>
      <c r="X409" s="4">
        <v>0.0</v>
      </c>
      <c r="Y409" s="4">
        <v>1.0</v>
      </c>
      <c r="Z409" s="4">
        <v>1.0</v>
      </c>
      <c r="AA409" s="4">
        <v>11.0</v>
      </c>
      <c r="AB409" s="4">
        <v>12.0</v>
      </c>
      <c r="AC409" s="5"/>
      <c r="AD409" s="5"/>
      <c r="AE409" s="7" t="s">
        <v>1138</v>
      </c>
    </row>
    <row r="410">
      <c r="A410" s="4">
        <v>-8570246.28</v>
      </c>
      <c r="B410" s="4">
        <v>4704632.1771</v>
      </c>
      <c r="C410" s="4">
        <v>362436.0</v>
      </c>
      <c r="D410" s="5" t="s">
        <v>39</v>
      </c>
      <c r="E410" s="5" t="s">
        <v>1628</v>
      </c>
      <c r="F410" s="5" t="s">
        <v>1629</v>
      </c>
      <c r="G410" s="5" t="s">
        <v>33</v>
      </c>
      <c r="H410" s="5" t="s">
        <v>34</v>
      </c>
      <c r="I410" s="4">
        <v>1.0</v>
      </c>
      <c r="J410" s="4">
        <v>38.8809368</v>
      </c>
      <c r="K410" s="4">
        <v>-76.98782994</v>
      </c>
      <c r="L410" s="4">
        <v>0.0</v>
      </c>
      <c r="M410" s="4">
        <v>0.0</v>
      </c>
      <c r="N410" s="4">
        <v>0.0</v>
      </c>
      <c r="O410" s="4">
        <v>1.0</v>
      </c>
      <c r="P410" s="4">
        <v>0.0</v>
      </c>
      <c r="Q410" s="5"/>
      <c r="R410" s="4">
        <v>68239.0</v>
      </c>
      <c r="S410" s="4">
        <v>401055.96</v>
      </c>
      <c r="T410" s="4">
        <v>134789.17</v>
      </c>
      <c r="U410" s="5" t="s">
        <v>1630</v>
      </c>
      <c r="V410" s="5" t="s">
        <v>36</v>
      </c>
      <c r="W410" s="4">
        <v>0.0</v>
      </c>
      <c r="X410" s="4">
        <v>0.0</v>
      </c>
      <c r="Y410" s="4">
        <v>1.0</v>
      </c>
      <c r="Z410" s="4">
        <v>1.0</v>
      </c>
      <c r="AA410" s="4">
        <v>5.0</v>
      </c>
      <c r="AB410" s="4">
        <v>6.0</v>
      </c>
      <c r="AC410" s="5" t="s">
        <v>1631</v>
      </c>
      <c r="AD410" s="5"/>
      <c r="AE410" s="7" t="s">
        <v>50</v>
      </c>
    </row>
    <row r="411">
      <c r="A411" s="4">
        <v>-8569025.7185</v>
      </c>
      <c r="B411" s="4">
        <v>4707511.1828</v>
      </c>
      <c r="C411" s="4">
        <v>362438.0</v>
      </c>
      <c r="D411" s="5" t="s">
        <v>56</v>
      </c>
      <c r="E411" s="5" t="s">
        <v>1632</v>
      </c>
      <c r="F411" s="5" t="s">
        <v>1633</v>
      </c>
      <c r="G411" s="5" t="s">
        <v>33</v>
      </c>
      <c r="H411" s="5" t="s">
        <v>34</v>
      </c>
      <c r="I411" s="4">
        <v>3.0</v>
      </c>
      <c r="J411" s="4">
        <v>38.9010405</v>
      </c>
      <c r="K411" s="4">
        <v>-76.97696991</v>
      </c>
      <c r="L411" s="4">
        <v>0.0</v>
      </c>
      <c r="M411" s="4">
        <v>0.0</v>
      </c>
      <c r="N411" s="4">
        <v>3.0</v>
      </c>
      <c r="O411" s="4">
        <v>0.0</v>
      </c>
      <c r="P411" s="4">
        <v>0.0</v>
      </c>
      <c r="Q411" s="5"/>
      <c r="R411" s="4">
        <v>55642.0</v>
      </c>
      <c r="S411" s="4">
        <v>402006.75</v>
      </c>
      <c r="T411" s="4">
        <v>137023.93</v>
      </c>
      <c r="U411" s="5" t="s">
        <v>1634</v>
      </c>
      <c r="V411" s="5" t="s">
        <v>36</v>
      </c>
      <c r="W411" s="4">
        <v>0.0</v>
      </c>
      <c r="X411" s="4">
        <v>0.0</v>
      </c>
      <c r="Y411" s="4">
        <v>3.0</v>
      </c>
      <c r="Z411" s="4">
        <v>3.0</v>
      </c>
      <c r="AA411" s="4">
        <v>38.0</v>
      </c>
      <c r="AB411" s="4">
        <v>41.0</v>
      </c>
      <c r="AC411" s="5" t="s">
        <v>1635</v>
      </c>
      <c r="AD411" s="5"/>
      <c r="AE411" s="7" t="s">
        <v>50</v>
      </c>
    </row>
    <row r="412">
      <c r="A412" s="4">
        <v>-8575707.5593</v>
      </c>
      <c r="B412" s="4">
        <v>4711605.6667</v>
      </c>
      <c r="C412" s="4">
        <v>362445.0</v>
      </c>
      <c r="D412" s="5" t="s">
        <v>114</v>
      </c>
      <c r="E412" s="5" t="s">
        <v>1636</v>
      </c>
      <c r="F412" s="5" t="s">
        <v>1637</v>
      </c>
      <c r="G412" s="5" t="s">
        <v>33</v>
      </c>
      <c r="H412" s="5" t="s">
        <v>1334</v>
      </c>
      <c r="I412" s="4">
        <v>165.0</v>
      </c>
      <c r="J412" s="4">
        <v>38.92968407</v>
      </c>
      <c r="K412" s="4">
        <v>-77.03690719</v>
      </c>
      <c r="L412" s="4">
        <v>0.0</v>
      </c>
      <c r="M412" s="4">
        <v>70.0</v>
      </c>
      <c r="N412" s="4">
        <v>0.0</v>
      </c>
      <c r="O412" s="4">
        <v>95.0</v>
      </c>
      <c r="P412" s="4">
        <v>0.0</v>
      </c>
      <c r="Q412" s="5"/>
      <c r="R412" s="4">
        <v>236415.0</v>
      </c>
      <c r="S412" s="4">
        <v>396801.4</v>
      </c>
      <c r="T412" s="4">
        <v>140201.23</v>
      </c>
      <c r="U412" s="5" t="s">
        <v>1638</v>
      </c>
      <c r="V412" s="5" t="s">
        <v>36</v>
      </c>
      <c r="W412" s="4">
        <v>0.0</v>
      </c>
      <c r="X412" s="4">
        <v>165.0</v>
      </c>
      <c r="Y412" s="4">
        <v>0.0</v>
      </c>
      <c r="Z412" s="4">
        <v>165.0</v>
      </c>
      <c r="AA412" s="4">
        <v>0.0</v>
      </c>
      <c r="AB412" s="4">
        <v>165.0</v>
      </c>
      <c r="AC412" s="5" t="s">
        <v>1639</v>
      </c>
      <c r="AD412" s="5"/>
      <c r="AE412" s="7" t="s">
        <v>50</v>
      </c>
    </row>
    <row r="413">
      <c r="A413" s="4">
        <v>-8566030.0333</v>
      </c>
      <c r="B413" s="4">
        <v>4707234.0723</v>
      </c>
      <c r="C413" s="4">
        <v>362446.0</v>
      </c>
      <c r="D413" s="5" t="s">
        <v>30</v>
      </c>
      <c r="E413" s="5" t="s">
        <v>1640</v>
      </c>
      <c r="F413" s="5" t="s">
        <v>1641</v>
      </c>
      <c r="G413" s="5" t="s">
        <v>33</v>
      </c>
      <c r="H413" s="5" t="s">
        <v>374</v>
      </c>
      <c r="I413" s="4">
        <v>0.0</v>
      </c>
      <c r="J413" s="4">
        <v>38.89917977</v>
      </c>
      <c r="K413" s="4">
        <v>-76.94993063</v>
      </c>
      <c r="L413" s="4">
        <v>0.0</v>
      </c>
      <c r="M413" s="4">
        <v>0.0</v>
      </c>
      <c r="N413" s="4">
        <v>0.0</v>
      </c>
      <c r="O413" s="4">
        <v>0.0</v>
      </c>
      <c r="P413" s="4">
        <v>23.0</v>
      </c>
      <c r="Q413" s="5" t="s">
        <v>1393</v>
      </c>
      <c r="R413" s="4">
        <v>328855.0</v>
      </c>
      <c r="S413" s="4">
        <v>404341.17</v>
      </c>
      <c r="T413" s="4">
        <v>136809.81</v>
      </c>
      <c r="U413" s="5" t="s">
        <v>1642</v>
      </c>
      <c r="V413" s="5" t="s">
        <v>36</v>
      </c>
      <c r="W413" s="4">
        <v>0.0</v>
      </c>
      <c r="X413" s="4">
        <v>0.0</v>
      </c>
      <c r="Y413" s="4">
        <v>0.0</v>
      </c>
      <c r="Z413" s="4">
        <v>0.0</v>
      </c>
      <c r="AA413" s="4">
        <v>89.0</v>
      </c>
      <c r="AB413" s="4">
        <v>112.0</v>
      </c>
      <c r="AC413" s="5" t="s">
        <v>1643</v>
      </c>
      <c r="AD413" s="5"/>
      <c r="AE413" s="5"/>
    </row>
    <row r="414">
      <c r="A414" s="4">
        <v>-8574461.2453</v>
      </c>
      <c r="B414" s="4">
        <v>4710712.9028</v>
      </c>
      <c r="C414" s="4">
        <v>362448.0</v>
      </c>
      <c r="D414" s="5" t="s">
        <v>114</v>
      </c>
      <c r="E414" s="5" t="s">
        <v>1644</v>
      </c>
      <c r="F414" s="5" t="s">
        <v>1645</v>
      </c>
      <c r="G414" s="5" t="s">
        <v>33</v>
      </c>
      <c r="H414" s="5" t="s">
        <v>34</v>
      </c>
      <c r="I414" s="4">
        <v>6.0</v>
      </c>
      <c r="J414" s="4">
        <v>38.92344629</v>
      </c>
      <c r="K414" s="4">
        <v>-77.0256936</v>
      </c>
      <c r="L414" s="4">
        <v>2.0</v>
      </c>
      <c r="M414" s="4">
        <v>2.0</v>
      </c>
      <c r="N414" s="4">
        <v>0.0</v>
      </c>
      <c r="O414" s="4">
        <v>2.0</v>
      </c>
      <c r="P414" s="4">
        <v>0.0</v>
      </c>
      <c r="Q414" s="5"/>
      <c r="R414" s="4">
        <v>233081.0</v>
      </c>
      <c r="S414" s="4">
        <v>397771.97</v>
      </c>
      <c r="T414" s="4">
        <v>139508.31</v>
      </c>
      <c r="U414" s="5" t="s">
        <v>1646</v>
      </c>
      <c r="V414" s="5" t="s">
        <v>36</v>
      </c>
      <c r="W414" s="4">
        <v>0.0</v>
      </c>
      <c r="X414" s="4">
        <v>6.0</v>
      </c>
      <c r="Y414" s="4">
        <v>0.0</v>
      </c>
      <c r="Z414" s="4">
        <v>6.0</v>
      </c>
      <c r="AA414" s="4">
        <v>2.0</v>
      </c>
      <c r="AB414" s="4">
        <v>8.0</v>
      </c>
      <c r="AC414" s="5" t="s">
        <v>1647</v>
      </c>
      <c r="AD414" s="5"/>
      <c r="AE414" s="7" t="s">
        <v>50</v>
      </c>
    </row>
    <row r="415">
      <c r="A415" s="4">
        <v>-8577028.6835</v>
      </c>
      <c r="B415" s="4">
        <v>4709711.9417</v>
      </c>
      <c r="C415" s="4">
        <v>362449.0</v>
      </c>
      <c r="D415" s="5" t="s">
        <v>442</v>
      </c>
      <c r="E415" s="5" t="s">
        <v>1350</v>
      </c>
      <c r="F415" s="5" t="s">
        <v>1648</v>
      </c>
      <c r="G415" s="5" t="s">
        <v>33</v>
      </c>
      <c r="H415" s="5" t="s">
        <v>34</v>
      </c>
      <c r="I415" s="4">
        <v>12.0</v>
      </c>
      <c r="J415" s="4">
        <v>38.91645047</v>
      </c>
      <c r="K415" s="4">
        <v>-77.04875729</v>
      </c>
      <c r="L415" s="4">
        <v>0.0</v>
      </c>
      <c r="M415" s="4">
        <v>0.0</v>
      </c>
      <c r="N415" s="4">
        <v>0.0</v>
      </c>
      <c r="O415" s="4">
        <v>12.0</v>
      </c>
      <c r="P415" s="4">
        <v>0.0</v>
      </c>
      <c r="Q415" s="5"/>
      <c r="R415" s="4">
        <v>277151.0</v>
      </c>
      <c r="S415" s="4">
        <v>395771.58</v>
      </c>
      <c r="T415" s="4">
        <v>138732.53</v>
      </c>
      <c r="U415" s="5" t="s">
        <v>1352</v>
      </c>
      <c r="V415" s="5" t="s">
        <v>36</v>
      </c>
      <c r="W415" s="4">
        <v>0.0</v>
      </c>
      <c r="X415" s="4">
        <v>12.0</v>
      </c>
      <c r="Y415" s="4">
        <v>0.0</v>
      </c>
      <c r="Z415" s="4">
        <v>12.0</v>
      </c>
      <c r="AA415" s="4">
        <v>11.0</v>
      </c>
      <c r="AB415" s="4">
        <v>23.0</v>
      </c>
      <c r="AC415" s="5" t="s">
        <v>1649</v>
      </c>
      <c r="AD415" s="5"/>
      <c r="AE415" s="7" t="s">
        <v>50</v>
      </c>
    </row>
    <row r="416">
      <c r="A416" s="4">
        <v>-8575109.0694</v>
      </c>
      <c r="B416" s="4">
        <v>4711646.5496</v>
      </c>
      <c r="C416" s="4">
        <v>362450.0</v>
      </c>
      <c r="D416" s="5" t="s">
        <v>114</v>
      </c>
      <c r="E416" s="5" t="s">
        <v>1650</v>
      </c>
      <c r="F416" s="5" t="s">
        <v>1651</v>
      </c>
      <c r="G416" s="5" t="s">
        <v>33</v>
      </c>
      <c r="H416" s="5" t="s">
        <v>34</v>
      </c>
      <c r="I416" s="4">
        <v>25.0</v>
      </c>
      <c r="J416" s="4">
        <v>38.92997103</v>
      </c>
      <c r="K416" s="4">
        <v>-77.03151311</v>
      </c>
      <c r="L416" s="4">
        <v>0.0</v>
      </c>
      <c r="M416" s="4">
        <v>10.0</v>
      </c>
      <c r="N416" s="4">
        <v>0.0</v>
      </c>
      <c r="O416" s="4">
        <v>15.0</v>
      </c>
      <c r="P416" s="4">
        <v>0.0</v>
      </c>
      <c r="Q416" s="5"/>
      <c r="R416" s="4">
        <v>231109.0</v>
      </c>
      <c r="S416" s="4">
        <v>397267.58</v>
      </c>
      <c r="T416" s="4">
        <v>140232.77</v>
      </c>
      <c r="U416" s="5" t="s">
        <v>1652</v>
      </c>
      <c r="V416" s="5" t="s">
        <v>36</v>
      </c>
      <c r="W416" s="4">
        <v>0.0</v>
      </c>
      <c r="X416" s="4">
        <v>25.0</v>
      </c>
      <c r="Y416" s="4">
        <v>0.0</v>
      </c>
      <c r="Z416" s="4">
        <v>25.0</v>
      </c>
      <c r="AA416" s="4">
        <v>24.0</v>
      </c>
      <c r="AB416" s="4">
        <v>49.0</v>
      </c>
      <c r="AC416" s="5" t="s">
        <v>1647</v>
      </c>
      <c r="AD416" s="5"/>
      <c r="AE416" s="7" t="s">
        <v>50</v>
      </c>
    </row>
    <row r="417">
      <c r="A417" s="4">
        <v>-8571872.4638</v>
      </c>
      <c r="B417" s="4">
        <v>4707759.5079</v>
      </c>
      <c r="C417" s="4">
        <v>362452.0</v>
      </c>
      <c r="D417" s="5" t="s">
        <v>39</v>
      </c>
      <c r="E417" s="5" t="s">
        <v>1653</v>
      </c>
      <c r="F417" s="5" t="s">
        <v>1654</v>
      </c>
      <c r="G417" s="5" t="s">
        <v>33</v>
      </c>
      <c r="H417" s="5" t="s">
        <v>1598</v>
      </c>
      <c r="I417" s="4">
        <v>159.0</v>
      </c>
      <c r="J417" s="4">
        <v>38.9028027</v>
      </c>
      <c r="K417" s="4">
        <v>-77.00243819</v>
      </c>
      <c r="L417" s="4">
        <v>0.0</v>
      </c>
      <c r="M417" s="4">
        <v>0.0</v>
      </c>
      <c r="N417" s="4">
        <v>0.0</v>
      </c>
      <c r="O417" s="4">
        <v>159.0</v>
      </c>
      <c r="P417" s="4">
        <v>0.0</v>
      </c>
      <c r="Q417" s="5"/>
      <c r="R417" s="4">
        <v>305783.0</v>
      </c>
      <c r="S417" s="4">
        <v>399788.51</v>
      </c>
      <c r="T417" s="4">
        <v>137216.39</v>
      </c>
      <c r="U417" s="5" t="s">
        <v>1655</v>
      </c>
      <c r="V417" s="5" t="s">
        <v>36</v>
      </c>
      <c r="W417" s="4">
        <v>30.0</v>
      </c>
      <c r="X417" s="4">
        <v>129.0</v>
      </c>
      <c r="Y417" s="4">
        <v>0.0</v>
      </c>
      <c r="Z417" s="4">
        <v>129.0</v>
      </c>
      <c r="AA417" s="4">
        <v>0.0</v>
      </c>
      <c r="AB417" s="4">
        <v>159.0</v>
      </c>
      <c r="AC417" s="5" t="s">
        <v>1656</v>
      </c>
      <c r="AD417" s="5"/>
      <c r="AE417" s="7" t="s">
        <v>50</v>
      </c>
    </row>
    <row r="418">
      <c r="A418" s="4">
        <v>-8569490.1544</v>
      </c>
      <c r="B418" s="4">
        <v>4707955.1222</v>
      </c>
      <c r="C418" s="4">
        <v>362455.0</v>
      </c>
      <c r="D418" s="5" t="s">
        <v>56</v>
      </c>
      <c r="E418" s="5" t="s">
        <v>1657</v>
      </c>
      <c r="F418" s="5" t="s">
        <v>1658</v>
      </c>
      <c r="G418" s="5" t="s">
        <v>33</v>
      </c>
      <c r="H418" s="5" t="s">
        <v>34</v>
      </c>
      <c r="I418" s="4">
        <v>1.0</v>
      </c>
      <c r="J418" s="4">
        <v>38.90417019</v>
      </c>
      <c r="K418" s="4">
        <v>-76.98103755</v>
      </c>
      <c r="L418" s="4">
        <v>0.0</v>
      </c>
      <c r="M418" s="4">
        <v>0.0</v>
      </c>
      <c r="N418" s="4">
        <v>1.0</v>
      </c>
      <c r="O418" s="4">
        <v>0.0</v>
      </c>
      <c r="P418" s="4">
        <v>0.0</v>
      </c>
      <c r="Q418" s="5"/>
      <c r="R418" s="4">
        <v>74591.0</v>
      </c>
      <c r="S418" s="4">
        <v>401644.78</v>
      </c>
      <c r="T418" s="4">
        <v>137368.36</v>
      </c>
      <c r="U418" s="5" t="s">
        <v>1659</v>
      </c>
      <c r="V418" s="5" t="s">
        <v>36</v>
      </c>
      <c r="W418" s="4">
        <v>0.0</v>
      </c>
      <c r="X418" s="4">
        <v>0.0</v>
      </c>
      <c r="Y418" s="4">
        <v>1.0</v>
      </c>
      <c r="Z418" s="4">
        <v>1.0</v>
      </c>
      <c r="AA418" s="4">
        <v>9.0</v>
      </c>
      <c r="AB418" s="4">
        <v>10.0</v>
      </c>
      <c r="AC418" s="5" t="s">
        <v>1660</v>
      </c>
      <c r="AD418" s="5"/>
      <c r="AE418" s="7" t="s">
        <v>50</v>
      </c>
    </row>
    <row r="419">
      <c r="A419" s="4">
        <v>-8568872.2656</v>
      </c>
      <c r="B419" s="4">
        <v>4707577.4269</v>
      </c>
      <c r="C419" s="4">
        <v>362457.0</v>
      </c>
      <c r="D419" s="5" t="s">
        <v>56</v>
      </c>
      <c r="E419" s="5" t="s">
        <v>1661</v>
      </c>
      <c r="F419" s="5" t="s">
        <v>1662</v>
      </c>
      <c r="G419" s="5" t="s">
        <v>310</v>
      </c>
      <c r="H419" s="5" t="s">
        <v>34</v>
      </c>
      <c r="I419" s="4">
        <v>2.0</v>
      </c>
      <c r="J419" s="4">
        <v>38.9015298</v>
      </c>
      <c r="K419" s="4">
        <v>-76.97548696</v>
      </c>
      <c r="L419" s="4">
        <v>0.0</v>
      </c>
      <c r="M419" s="4">
        <v>0.0</v>
      </c>
      <c r="N419" s="4">
        <v>2.0</v>
      </c>
      <c r="O419" s="4">
        <v>0.0</v>
      </c>
      <c r="P419" s="4">
        <v>0.0</v>
      </c>
      <c r="Q419" s="5"/>
      <c r="R419" s="4">
        <v>81449.0</v>
      </c>
      <c r="S419" s="4">
        <v>402126.31</v>
      </c>
      <c r="T419" s="4">
        <v>137075.37</v>
      </c>
      <c r="U419" s="5" t="s">
        <v>1663</v>
      </c>
      <c r="V419" s="5" t="s">
        <v>36</v>
      </c>
      <c r="W419" s="4">
        <v>0.0</v>
      </c>
      <c r="X419" s="4">
        <v>0.0</v>
      </c>
      <c r="Y419" s="4">
        <v>2.0</v>
      </c>
      <c r="Z419" s="4">
        <v>2.0</v>
      </c>
      <c r="AA419" s="4">
        <v>25.0</v>
      </c>
      <c r="AB419" s="4">
        <v>27.0</v>
      </c>
      <c r="AC419" s="5"/>
      <c r="AD419" s="5"/>
      <c r="AE419" s="7" t="s">
        <v>1138</v>
      </c>
    </row>
    <row r="420">
      <c r="A420" s="4">
        <v>-8575213.702</v>
      </c>
      <c r="B420" s="4">
        <v>4712839.2338</v>
      </c>
      <c r="C420" s="4">
        <v>362459.0</v>
      </c>
      <c r="D420" s="5" t="s">
        <v>51</v>
      </c>
      <c r="E420" s="5" t="s">
        <v>1664</v>
      </c>
      <c r="F420" s="5" t="s">
        <v>1665</v>
      </c>
      <c r="G420" s="5" t="s">
        <v>310</v>
      </c>
      <c r="H420" s="5" t="s">
        <v>34</v>
      </c>
      <c r="I420" s="4">
        <v>2.0</v>
      </c>
      <c r="J420" s="4">
        <v>38.93830517</v>
      </c>
      <c r="K420" s="4">
        <v>-77.03245304</v>
      </c>
      <c r="L420" s="4">
        <v>0.0</v>
      </c>
      <c r="M420" s="4">
        <v>0.0</v>
      </c>
      <c r="N420" s="4">
        <v>2.0</v>
      </c>
      <c r="O420" s="4">
        <v>0.0</v>
      </c>
      <c r="P420" s="4">
        <v>0.0</v>
      </c>
      <c r="Q420" s="5"/>
      <c r="R420" s="4">
        <v>225153.0</v>
      </c>
      <c r="S420" s="4">
        <v>397186.41</v>
      </c>
      <c r="T420" s="4">
        <v>141157.96</v>
      </c>
      <c r="U420" s="5" t="s">
        <v>1666</v>
      </c>
      <c r="V420" s="5" t="s">
        <v>36</v>
      </c>
      <c r="W420" s="4">
        <v>0.0</v>
      </c>
      <c r="X420" s="4">
        <v>0.0</v>
      </c>
      <c r="Y420" s="4">
        <v>2.0</v>
      </c>
      <c r="Z420" s="4">
        <v>2.0</v>
      </c>
      <c r="AA420" s="4">
        <v>18.0</v>
      </c>
      <c r="AB420" s="4">
        <v>20.0</v>
      </c>
      <c r="AC420" s="5"/>
      <c r="AD420" s="5"/>
      <c r="AE420" s="7" t="s">
        <v>1138</v>
      </c>
    </row>
    <row r="421">
      <c r="A421" s="4">
        <v>-8571890.7354</v>
      </c>
      <c r="B421" s="4">
        <v>4707637.5034</v>
      </c>
      <c r="C421" s="4">
        <v>362461.0</v>
      </c>
      <c r="D421" s="5" t="s">
        <v>39</v>
      </c>
      <c r="E421" s="5" t="s">
        <v>1667</v>
      </c>
      <c r="F421" s="5" t="s">
        <v>1668</v>
      </c>
      <c r="G421" s="5" t="s">
        <v>310</v>
      </c>
      <c r="H421" s="5" t="s">
        <v>34</v>
      </c>
      <c r="I421" s="4">
        <v>1.0</v>
      </c>
      <c r="J421" s="4">
        <v>38.90194979</v>
      </c>
      <c r="K421" s="4">
        <v>-77.00260233</v>
      </c>
      <c r="L421" s="4">
        <v>0.0</v>
      </c>
      <c r="M421" s="4">
        <v>0.0</v>
      </c>
      <c r="N421" s="4">
        <v>0.0</v>
      </c>
      <c r="O421" s="4">
        <v>1.0</v>
      </c>
      <c r="P421" s="4">
        <v>0.0</v>
      </c>
      <c r="Q421" s="5"/>
      <c r="R421" s="4">
        <v>48694.0</v>
      </c>
      <c r="S421" s="4">
        <v>399774.27</v>
      </c>
      <c r="T421" s="4">
        <v>137121.71</v>
      </c>
      <c r="U421" s="5" t="s">
        <v>1669</v>
      </c>
      <c r="V421" s="5" t="s">
        <v>36</v>
      </c>
      <c r="W421" s="4">
        <v>0.0</v>
      </c>
      <c r="X421" s="4">
        <v>0.0</v>
      </c>
      <c r="Y421" s="4">
        <v>1.0</v>
      </c>
      <c r="Z421" s="4">
        <v>1.0</v>
      </c>
      <c r="AA421" s="4">
        <v>7.0</v>
      </c>
      <c r="AB421" s="4">
        <v>8.0</v>
      </c>
      <c r="AC421" s="5"/>
      <c r="AD421" s="5"/>
      <c r="AE421" s="7" t="s">
        <v>1138</v>
      </c>
    </row>
    <row r="422">
      <c r="A422" s="4">
        <v>-8574766.1403</v>
      </c>
      <c r="B422" s="4">
        <v>4707925.0284</v>
      </c>
      <c r="C422" s="4">
        <v>362463.0</v>
      </c>
      <c r="D422" s="5" t="s">
        <v>442</v>
      </c>
      <c r="E422" s="5" t="s">
        <v>1670</v>
      </c>
      <c r="F422" s="5" t="s">
        <v>1671</v>
      </c>
      <c r="G422" s="5" t="s">
        <v>310</v>
      </c>
      <c r="H422" s="5" t="s">
        <v>1334</v>
      </c>
      <c r="I422" s="4">
        <v>145.0</v>
      </c>
      <c r="J422" s="4">
        <v>38.90395982</v>
      </c>
      <c r="K422" s="4">
        <v>-77.02843252</v>
      </c>
      <c r="L422" s="4">
        <v>20.0</v>
      </c>
      <c r="M422" s="4">
        <v>0.0</v>
      </c>
      <c r="N422" s="4">
        <v>17.0</v>
      </c>
      <c r="O422" s="4">
        <v>108.0</v>
      </c>
      <c r="P422" s="4">
        <v>0.0</v>
      </c>
      <c r="Q422" s="5"/>
      <c r="R422" s="4">
        <v>218045.0</v>
      </c>
      <c r="S422" s="4">
        <v>397533.79</v>
      </c>
      <c r="T422" s="4">
        <v>137345.22</v>
      </c>
      <c r="U422" s="5" t="s">
        <v>1672</v>
      </c>
      <c r="V422" s="5" t="s">
        <v>36</v>
      </c>
      <c r="W422" s="4">
        <v>0.0</v>
      </c>
      <c r="X422" s="4">
        <v>0.0</v>
      </c>
      <c r="Y422" s="4">
        <v>145.0</v>
      </c>
      <c r="Z422" s="4">
        <v>145.0</v>
      </c>
      <c r="AA422" s="4">
        <v>0.0</v>
      </c>
      <c r="AB422" s="4">
        <v>145.0</v>
      </c>
      <c r="AC422" s="5"/>
      <c r="AD422" s="5"/>
      <c r="AE422" s="7" t="s">
        <v>1138</v>
      </c>
    </row>
    <row r="423">
      <c r="A423" s="4">
        <v>-8571364.6981</v>
      </c>
      <c r="B423" s="4">
        <v>4710665.4578</v>
      </c>
      <c r="C423" s="4">
        <v>362465.0</v>
      </c>
      <c r="D423" s="5" t="s">
        <v>56</v>
      </c>
      <c r="E423" s="5" t="s">
        <v>1673</v>
      </c>
      <c r="F423" s="5" t="s">
        <v>1674</v>
      </c>
      <c r="G423" s="5" t="s">
        <v>33</v>
      </c>
      <c r="H423" s="5" t="s">
        <v>81</v>
      </c>
      <c r="I423" s="4">
        <v>300.0</v>
      </c>
      <c r="J423" s="4">
        <v>38.92311471</v>
      </c>
      <c r="K423" s="4">
        <v>-76.99787686</v>
      </c>
      <c r="L423" s="4">
        <v>0.0</v>
      </c>
      <c r="M423" s="4">
        <v>103.0</v>
      </c>
      <c r="N423" s="4">
        <v>127.0</v>
      </c>
      <c r="O423" s="4">
        <v>70.0</v>
      </c>
      <c r="P423" s="4">
        <v>0.0</v>
      </c>
      <c r="Q423" s="5"/>
      <c r="R423" s="4">
        <v>289572.0</v>
      </c>
      <c r="S423" s="4">
        <v>400184.11</v>
      </c>
      <c r="T423" s="4">
        <v>139471.19</v>
      </c>
      <c r="U423" s="5" t="s">
        <v>1675</v>
      </c>
      <c r="V423" s="5" t="s">
        <v>36</v>
      </c>
      <c r="W423" s="4">
        <v>300.0</v>
      </c>
      <c r="X423" s="4">
        <v>0.0</v>
      </c>
      <c r="Y423" s="4">
        <v>0.0</v>
      </c>
      <c r="Z423" s="4">
        <v>0.0</v>
      </c>
      <c r="AA423" s="4">
        <v>0.0</v>
      </c>
      <c r="AB423" s="4">
        <v>300.0</v>
      </c>
      <c r="AC423" s="5" t="s">
        <v>1676</v>
      </c>
      <c r="AD423" s="5"/>
      <c r="AE423" s="7" t="s">
        <v>50</v>
      </c>
    </row>
    <row r="424">
      <c r="A424" s="4">
        <v>-8563795.436</v>
      </c>
      <c r="B424" s="4">
        <v>4708548.1074</v>
      </c>
      <c r="C424" s="4">
        <v>362466.0</v>
      </c>
      <c r="D424" s="5" t="s">
        <v>30</v>
      </c>
      <c r="E424" s="5" t="s">
        <v>1677</v>
      </c>
      <c r="F424" s="5" t="s">
        <v>1678</v>
      </c>
      <c r="G424" s="5" t="s">
        <v>310</v>
      </c>
      <c r="H424" s="5" t="s">
        <v>34</v>
      </c>
      <c r="I424" s="4">
        <v>3.0</v>
      </c>
      <c r="J424" s="4">
        <v>38.90831543</v>
      </c>
      <c r="K424" s="4">
        <v>-76.92988104</v>
      </c>
      <c r="L424" s="4">
        <v>0.0</v>
      </c>
      <c r="M424" s="4">
        <v>3.0</v>
      </c>
      <c r="N424" s="4">
        <v>0.0</v>
      </c>
      <c r="O424" s="4">
        <v>0.0</v>
      </c>
      <c r="P424" s="4">
        <v>0.0</v>
      </c>
      <c r="Q424" s="5"/>
      <c r="R424" s="4">
        <v>16126.0</v>
      </c>
      <c r="S424" s="4">
        <v>406081.68</v>
      </c>
      <c r="T424" s="4">
        <v>137830.68</v>
      </c>
      <c r="U424" s="5" t="s">
        <v>1679</v>
      </c>
      <c r="V424" s="5" t="s">
        <v>36</v>
      </c>
      <c r="W424" s="4">
        <v>0.0</v>
      </c>
      <c r="X424" s="4">
        <v>0.0</v>
      </c>
      <c r="Y424" s="4">
        <v>3.0</v>
      </c>
      <c r="Z424" s="4">
        <v>3.0</v>
      </c>
      <c r="AA424" s="4">
        <v>33.0</v>
      </c>
      <c r="AB424" s="4">
        <v>36.0</v>
      </c>
      <c r="AC424" s="5"/>
      <c r="AD424" s="5"/>
      <c r="AE424" s="7" t="s">
        <v>1138</v>
      </c>
    </row>
    <row r="425">
      <c r="A425" s="4">
        <v>-8574210.2445</v>
      </c>
      <c r="B425" s="4">
        <v>4711998.4778</v>
      </c>
      <c r="C425" s="4">
        <v>362470.0</v>
      </c>
      <c r="D425" s="5" t="s">
        <v>114</v>
      </c>
      <c r="E425" s="5" t="s">
        <v>1680</v>
      </c>
      <c r="F425" s="5" t="s">
        <v>1681</v>
      </c>
      <c r="G425" s="5" t="s">
        <v>310</v>
      </c>
      <c r="H425" s="5" t="s">
        <v>34</v>
      </c>
      <c r="I425" s="4">
        <v>1.0</v>
      </c>
      <c r="J425" s="4">
        <v>38.93243031</v>
      </c>
      <c r="K425" s="4">
        <v>-77.02343883</v>
      </c>
      <c r="L425" s="4">
        <v>0.0</v>
      </c>
      <c r="M425" s="4">
        <v>0.0</v>
      </c>
      <c r="N425" s="4">
        <v>0.0</v>
      </c>
      <c r="O425" s="4">
        <v>1.0</v>
      </c>
      <c r="P425" s="4">
        <v>0.0</v>
      </c>
      <c r="Q425" s="5"/>
      <c r="R425" s="4">
        <v>307767.0</v>
      </c>
      <c r="S425" s="4">
        <v>397967.75</v>
      </c>
      <c r="T425" s="4">
        <v>140505.56</v>
      </c>
      <c r="U425" s="5" t="s">
        <v>1682</v>
      </c>
      <c r="V425" s="5" t="s">
        <v>36</v>
      </c>
      <c r="W425" s="4">
        <v>0.0</v>
      </c>
      <c r="X425" s="4">
        <v>0.0</v>
      </c>
      <c r="Y425" s="4">
        <v>1.0</v>
      </c>
      <c r="Z425" s="4">
        <v>1.0</v>
      </c>
      <c r="AA425" s="4">
        <v>13.0</v>
      </c>
      <c r="AB425" s="4">
        <v>14.0</v>
      </c>
      <c r="AC425" s="5"/>
      <c r="AD425" s="5"/>
      <c r="AE425" s="7" t="s">
        <v>1138</v>
      </c>
    </row>
    <row r="426">
      <c r="A426" s="4">
        <v>-8576896.2646</v>
      </c>
      <c r="B426" s="4">
        <v>4708274.1982</v>
      </c>
      <c r="C426" s="4">
        <v>362471.0</v>
      </c>
      <c r="D426" s="5" t="s">
        <v>442</v>
      </c>
      <c r="E426" s="5" t="s">
        <v>1683</v>
      </c>
      <c r="F426" s="5" t="s">
        <v>1684</v>
      </c>
      <c r="G426" s="5" t="s">
        <v>33</v>
      </c>
      <c r="H426" s="5" t="s">
        <v>34</v>
      </c>
      <c r="I426" s="4">
        <v>3.0</v>
      </c>
      <c r="J426" s="4">
        <v>38.90640071</v>
      </c>
      <c r="K426" s="4">
        <v>-77.04756775</v>
      </c>
      <c r="L426" s="4">
        <v>0.0</v>
      </c>
      <c r="M426" s="4">
        <v>0.0</v>
      </c>
      <c r="N426" s="4">
        <v>3.0</v>
      </c>
      <c r="O426" s="4">
        <v>0.0</v>
      </c>
      <c r="P426" s="4">
        <v>0.0</v>
      </c>
      <c r="Q426" s="5"/>
      <c r="R426" s="4">
        <v>279548.0</v>
      </c>
      <c r="S426" s="4">
        <v>395874.16</v>
      </c>
      <c r="T426" s="4">
        <v>137616.87</v>
      </c>
      <c r="U426" s="5" t="s">
        <v>1685</v>
      </c>
      <c r="V426" s="5" t="s">
        <v>36</v>
      </c>
      <c r="W426" s="4">
        <v>0.0</v>
      </c>
      <c r="X426" s="4">
        <v>0.0</v>
      </c>
      <c r="Y426" s="4">
        <v>3.0</v>
      </c>
      <c r="Z426" s="4">
        <v>3.0</v>
      </c>
      <c r="AA426" s="4">
        <v>41.0</v>
      </c>
      <c r="AB426" s="4">
        <v>44.0</v>
      </c>
      <c r="AC426" s="5" t="s">
        <v>1686</v>
      </c>
      <c r="AD426" s="5"/>
      <c r="AE426" s="7" t="s">
        <v>50</v>
      </c>
    </row>
    <row r="427">
      <c r="A427" s="4">
        <v>-8577800.3716</v>
      </c>
      <c r="B427" s="4">
        <v>4710739.0695</v>
      </c>
      <c r="C427" s="4">
        <v>362472.0</v>
      </c>
      <c r="D427" s="5" t="s">
        <v>341</v>
      </c>
      <c r="E427" s="5" t="s">
        <v>1687</v>
      </c>
      <c r="F427" s="5" t="s">
        <v>1688</v>
      </c>
      <c r="G427" s="5" t="s">
        <v>33</v>
      </c>
      <c r="H427" s="5" t="s">
        <v>34</v>
      </c>
      <c r="I427" s="4">
        <v>47.0</v>
      </c>
      <c r="J427" s="4">
        <v>38.92352105</v>
      </c>
      <c r="K427" s="4">
        <v>-77.0555961</v>
      </c>
      <c r="L427" s="4">
        <v>0.0</v>
      </c>
      <c r="M427" s="4">
        <v>2.0</v>
      </c>
      <c r="N427" s="4">
        <v>45.0</v>
      </c>
      <c r="O427" s="4">
        <v>0.0</v>
      </c>
      <c r="P427" s="4">
        <v>0.0</v>
      </c>
      <c r="Q427" s="5"/>
      <c r="R427" s="4">
        <v>301510.0</v>
      </c>
      <c r="S427" s="4">
        <v>395170.88</v>
      </c>
      <c r="T427" s="4">
        <v>139529.77</v>
      </c>
      <c r="U427" s="5" t="s">
        <v>1689</v>
      </c>
      <c r="V427" s="5" t="s">
        <v>36</v>
      </c>
      <c r="W427" s="4">
        <v>0.0</v>
      </c>
      <c r="X427" s="4">
        <v>0.0</v>
      </c>
      <c r="Y427" s="4">
        <v>47.0</v>
      </c>
      <c r="Z427" s="4">
        <v>47.0</v>
      </c>
      <c r="AA427" s="4">
        <v>530.0</v>
      </c>
      <c r="AB427" s="4">
        <v>577.0</v>
      </c>
      <c r="AC427" s="5" t="s">
        <v>1690</v>
      </c>
      <c r="AD427" s="5"/>
      <c r="AE427" s="7" t="s">
        <v>50</v>
      </c>
    </row>
    <row r="428">
      <c r="A428" s="4">
        <v>-8577688.6557</v>
      </c>
      <c r="B428" s="4">
        <v>4710902.8771</v>
      </c>
      <c r="C428" s="4">
        <v>362473.0</v>
      </c>
      <c r="D428" s="5" t="s">
        <v>341</v>
      </c>
      <c r="E428" s="5" t="s">
        <v>1691</v>
      </c>
      <c r="F428" s="5" t="s">
        <v>1692</v>
      </c>
      <c r="G428" s="5" t="s">
        <v>33</v>
      </c>
      <c r="H428" s="5" t="s">
        <v>34</v>
      </c>
      <c r="I428" s="4">
        <v>25.0</v>
      </c>
      <c r="J428" s="4">
        <v>38.92546215</v>
      </c>
      <c r="K428" s="4">
        <v>-77.05428131</v>
      </c>
      <c r="L428" s="4">
        <v>0.0</v>
      </c>
      <c r="M428" s="4">
        <v>1.0</v>
      </c>
      <c r="N428" s="4">
        <v>24.0</v>
      </c>
      <c r="O428" s="4">
        <v>0.0</v>
      </c>
      <c r="P428" s="4">
        <v>0.0</v>
      </c>
      <c r="Q428" s="5"/>
      <c r="R428" s="4">
        <v>336898.0</v>
      </c>
      <c r="S428" s="4">
        <v>395257.98</v>
      </c>
      <c r="T428" s="4">
        <v>139656.8</v>
      </c>
      <c r="U428" s="5" t="s">
        <v>1693</v>
      </c>
      <c r="V428" s="5" t="s">
        <v>36</v>
      </c>
      <c r="W428" s="4">
        <v>0.0</v>
      </c>
      <c r="X428" s="4">
        <v>0.0</v>
      </c>
      <c r="Y428" s="4">
        <v>25.0</v>
      </c>
      <c r="Z428" s="4">
        <v>25.0</v>
      </c>
      <c r="AA428" s="4">
        <v>265.0</v>
      </c>
      <c r="AB428" s="4">
        <v>290.0</v>
      </c>
      <c r="AC428" s="5" t="s">
        <v>1694</v>
      </c>
      <c r="AD428" s="5"/>
      <c r="AE428" s="7" t="s">
        <v>50</v>
      </c>
    </row>
    <row r="429">
      <c r="A429" s="4">
        <v>-8569155.5574</v>
      </c>
      <c r="B429" s="4">
        <v>4700908.3287</v>
      </c>
      <c r="C429" s="4">
        <v>362474.0</v>
      </c>
      <c r="D429" s="5" t="s">
        <v>45</v>
      </c>
      <c r="E429" s="5" t="s">
        <v>1695</v>
      </c>
      <c r="F429" s="5" t="s">
        <v>1696</v>
      </c>
      <c r="G429" s="5" t="s">
        <v>310</v>
      </c>
      <c r="H429" s="5" t="s">
        <v>34</v>
      </c>
      <c r="I429" s="4">
        <v>1.0</v>
      </c>
      <c r="J429" s="4">
        <v>38.854891</v>
      </c>
      <c r="K429" s="4">
        <v>-76.97803182</v>
      </c>
      <c r="L429" s="4">
        <v>0.0</v>
      </c>
      <c r="M429" s="4">
        <v>1.0</v>
      </c>
      <c r="N429" s="4">
        <v>0.0</v>
      </c>
      <c r="O429" s="4">
        <v>0.0</v>
      </c>
      <c r="P429" s="4">
        <v>0.0</v>
      </c>
      <c r="Q429" s="5"/>
      <c r="R429" s="4">
        <v>331623.0</v>
      </c>
      <c r="S429" s="4">
        <v>401906.81</v>
      </c>
      <c r="T429" s="4">
        <v>131898.09</v>
      </c>
      <c r="U429" s="5" t="s">
        <v>1697</v>
      </c>
      <c r="V429" s="5" t="s">
        <v>36</v>
      </c>
      <c r="W429" s="4">
        <v>0.0</v>
      </c>
      <c r="X429" s="4">
        <v>0.0</v>
      </c>
      <c r="Y429" s="4">
        <v>1.0</v>
      </c>
      <c r="Z429" s="4">
        <v>1.0</v>
      </c>
      <c r="AA429" s="4">
        <v>7.0</v>
      </c>
      <c r="AB429" s="4">
        <v>8.0</v>
      </c>
      <c r="AC429" s="5"/>
      <c r="AD429" s="5"/>
      <c r="AE429" s="7" t="s">
        <v>1138</v>
      </c>
    </row>
    <row r="430">
      <c r="A430" s="4">
        <v>-8571141.1813</v>
      </c>
      <c r="B430" s="4">
        <v>4711955.4761</v>
      </c>
      <c r="C430" s="4">
        <v>362476.0</v>
      </c>
      <c r="D430" s="5" t="s">
        <v>56</v>
      </c>
      <c r="E430" s="5" t="s">
        <v>1698</v>
      </c>
      <c r="F430" s="5" t="s">
        <v>1699</v>
      </c>
      <c r="G430" s="5" t="s">
        <v>33</v>
      </c>
      <c r="H430" s="5"/>
      <c r="I430" s="4">
        <v>10.0</v>
      </c>
      <c r="J430" s="4">
        <v>38.93212948</v>
      </c>
      <c r="K430" s="4">
        <v>-76.99586897</v>
      </c>
      <c r="L430" s="4">
        <v>0.0</v>
      </c>
      <c r="M430" s="4">
        <v>0.0</v>
      </c>
      <c r="N430" s="4">
        <v>0.0</v>
      </c>
      <c r="O430" s="4">
        <v>10.0</v>
      </c>
      <c r="P430" s="4">
        <v>0.0</v>
      </c>
      <c r="Q430" s="5"/>
      <c r="R430" s="4">
        <v>310875.0</v>
      </c>
      <c r="S430" s="4">
        <v>400358.18</v>
      </c>
      <c r="T430" s="4">
        <v>140471.95</v>
      </c>
      <c r="U430" s="5" t="s">
        <v>1700</v>
      </c>
      <c r="V430" s="5" t="s">
        <v>36</v>
      </c>
      <c r="W430" s="4">
        <v>0.0</v>
      </c>
      <c r="X430" s="4">
        <v>0.0</v>
      </c>
      <c r="Y430" s="4">
        <v>10.0</v>
      </c>
      <c r="Z430" s="4">
        <v>10.0</v>
      </c>
      <c r="AA430" s="4">
        <v>148.0</v>
      </c>
      <c r="AB430" s="4">
        <v>158.0</v>
      </c>
      <c r="AC430" s="5" t="s">
        <v>1701</v>
      </c>
      <c r="AD430" s="5"/>
      <c r="AE430" s="7" t="s">
        <v>50</v>
      </c>
    </row>
    <row r="431">
      <c r="A431" s="4">
        <v>-8570565.9941</v>
      </c>
      <c r="B431" s="4">
        <v>4707817.2527</v>
      </c>
      <c r="C431" s="4">
        <v>362477.0</v>
      </c>
      <c r="D431" s="5" t="s">
        <v>56</v>
      </c>
      <c r="E431" s="5" t="s">
        <v>1702</v>
      </c>
      <c r="F431" s="5" t="s">
        <v>1703</v>
      </c>
      <c r="G431" s="5" t="s">
        <v>33</v>
      </c>
      <c r="H431" s="5" t="s">
        <v>34</v>
      </c>
      <c r="I431" s="4">
        <v>4.0</v>
      </c>
      <c r="J431" s="4">
        <v>38.90315678</v>
      </c>
      <c r="K431" s="4">
        <v>-76.99070475</v>
      </c>
      <c r="L431" s="4">
        <v>0.0</v>
      </c>
      <c r="M431" s="4">
        <v>1.0</v>
      </c>
      <c r="N431" s="4">
        <v>0.0</v>
      </c>
      <c r="O431" s="4">
        <v>3.0</v>
      </c>
      <c r="P431" s="4">
        <v>0.0</v>
      </c>
      <c r="Q431" s="5"/>
      <c r="R431" s="4">
        <v>149783.0</v>
      </c>
      <c r="S431" s="4">
        <v>400806.51</v>
      </c>
      <c r="T431" s="4">
        <v>137261.24</v>
      </c>
      <c r="U431" s="5" t="s">
        <v>1704</v>
      </c>
      <c r="V431" s="5" t="s">
        <v>36</v>
      </c>
      <c r="W431" s="4">
        <v>0.0</v>
      </c>
      <c r="X431" s="4">
        <v>0.0</v>
      </c>
      <c r="Y431" s="4">
        <v>4.0</v>
      </c>
      <c r="Z431" s="4">
        <v>4.0</v>
      </c>
      <c r="AA431" s="4">
        <v>42.0</v>
      </c>
      <c r="AB431" s="4">
        <v>46.0</v>
      </c>
      <c r="AC431" s="5" t="s">
        <v>1705</v>
      </c>
      <c r="AD431" s="5"/>
      <c r="AE431" s="7" t="s">
        <v>50</v>
      </c>
    </row>
    <row r="432">
      <c r="A432" s="4">
        <v>-8569225.8465</v>
      </c>
      <c r="B432" s="4">
        <v>4707433.9178</v>
      </c>
      <c r="C432" s="4">
        <v>362479.0</v>
      </c>
      <c r="D432" s="5" t="s">
        <v>56</v>
      </c>
      <c r="E432" s="5" t="s">
        <v>1706</v>
      </c>
      <c r="F432" s="5" t="s">
        <v>1707</v>
      </c>
      <c r="G432" s="5" t="s">
        <v>33</v>
      </c>
      <c r="H432" s="5" t="s">
        <v>34</v>
      </c>
      <c r="I432" s="4">
        <v>32.0</v>
      </c>
      <c r="J432" s="4">
        <v>38.90076347</v>
      </c>
      <c r="K432" s="4">
        <v>-76.97812952</v>
      </c>
      <c r="L432" s="4">
        <v>0.0</v>
      </c>
      <c r="M432" s="4">
        <v>16.0</v>
      </c>
      <c r="N432" s="4">
        <v>16.0</v>
      </c>
      <c r="O432" s="4">
        <v>0.0</v>
      </c>
      <c r="P432" s="4">
        <v>0.0</v>
      </c>
      <c r="Q432" s="5"/>
      <c r="R432" s="4">
        <v>288960.0</v>
      </c>
      <c r="S432" s="4">
        <v>401850.82</v>
      </c>
      <c r="T432" s="4">
        <v>136963.93</v>
      </c>
      <c r="U432" s="5" t="s">
        <v>1708</v>
      </c>
      <c r="V432" s="5" t="s">
        <v>36</v>
      </c>
      <c r="W432" s="4">
        <v>0.0</v>
      </c>
      <c r="X432" s="4">
        <v>0.0</v>
      </c>
      <c r="Y432" s="4">
        <v>32.0</v>
      </c>
      <c r="Z432" s="4">
        <v>32.0</v>
      </c>
      <c r="AA432" s="4">
        <v>293.0</v>
      </c>
      <c r="AB432" s="4">
        <v>325.0</v>
      </c>
      <c r="AC432" s="5" t="s">
        <v>240</v>
      </c>
      <c r="AD432" s="5"/>
      <c r="AE432" s="7" t="s">
        <v>50</v>
      </c>
    </row>
    <row r="433">
      <c r="A433" s="4">
        <v>-8568760.4425</v>
      </c>
      <c r="B433" s="4">
        <v>4711702.0226</v>
      </c>
      <c r="C433" s="4">
        <v>362487.0</v>
      </c>
      <c r="D433" s="5" t="s">
        <v>56</v>
      </c>
      <c r="E433" s="5" t="s">
        <v>1709</v>
      </c>
      <c r="F433" s="5" t="s">
        <v>1710</v>
      </c>
      <c r="G433" s="5" t="s">
        <v>310</v>
      </c>
      <c r="H433" s="5" t="s">
        <v>42</v>
      </c>
      <c r="I433" s="4">
        <v>6.0</v>
      </c>
      <c r="J433" s="4">
        <v>38.93035835</v>
      </c>
      <c r="K433" s="4">
        <v>-76.97448244</v>
      </c>
      <c r="L433" s="4">
        <v>0.0</v>
      </c>
      <c r="M433" s="4">
        <v>0.0</v>
      </c>
      <c r="N433" s="4">
        <v>6.0</v>
      </c>
      <c r="O433" s="4">
        <v>0.0</v>
      </c>
      <c r="P433" s="4">
        <v>0.0</v>
      </c>
      <c r="Q433" s="5" t="s">
        <v>1711</v>
      </c>
      <c r="R433" s="4">
        <v>52405.0</v>
      </c>
      <c r="S433" s="4">
        <v>402212.55</v>
      </c>
      <c r="T433" s="4">
        <v>140275.64</v>
      </c>
      <c r="U433" s="5" t="s">
        <v>1712</v>
      </c>
      <c r="V433" s="5" t="s">
        <v>36</v>
      </c>
      <c r="W433" s="4">
        <v>0.0</v>
      </c>
      <c r="X433" s="4">
        <v>0.0</v>
      </c>
      <c r="Y433" s="4">
        <v>6.0</v>
      </c>
      <c r="Z433" s="4">
        <v>6.0</v>
      </c>
      <c r="AA433" s="4">
        <v>29.0</v>
      </c>
      <c r="AB433" s="4">
        <v>35.0</v>
      </c>
      <c r="AC433" s="5"/>
      <c r="AD433" s="5"/>
      <c r="AE433" s="5" t="s">
        <v>870</v>
      </c>
    </row>
    <row r="434">
      <c r="A434" s="4">
        <v>-8580057.4452</v>
      </c>
      <c r="B434" s="4">
        <v>4710853.0569</v>
      </c>
      <c r="C434" s="4">
        <v>362490.0</v>
      </c>
      <c r="D434" s="5" t="s">
        <v>341</v>
      </c>
      <c r="E434" s="5" t="s">
        <v>1713</v>
      </c>
      <c r="F434" s="5" t="s">
        <v>1714</v>
      </c>
      <c r="G434" s="5" t="s">
        <v>33</v>
      </c>
      <c r="H434" s="5" t="s">
        <v>34</v>
      </c>
      <c r="I434" s="4">
        <v>65.0</v>
      </c>
      <c r="J434" s="4">
        <v>38.92442579</v>
      </c>
      <c r="K434" s="4">
        <v>-77.07596511</v>
      </c>
      <c r="L434" s="4">
        <v>0.0</v>
      </c>
      <c r="M434" s="4">
        <v>0.0</v>
      </c>
      <c r="N434" s="4">
        <v>0.0</v>
      </c>
      <c r="O434" s="4">
        <v>65.0</v>
      </c>
      <c r="P434" s="4">
        <v>0.0</v>
      </c>
      <c r="Q434" s="5"/>
      <c r="R434" s="4">
        <v>224277.0</v>
      </c>
      <c r="S434" s="4">
        <v>393412.75</v>
      </c>
      <c r="T434" s="4">
        <v>139619.47</v>
      </c>
      <c r="U434" s="5" t="s">
        <v>1715</v>
      </c>
      <c r="V434" s="5" t="s">
        <v>36</v>
      </c>
      <c r="W434" s="4">
        <v>0.0</v>
      </c>
      <c r="X434" s="4">
        <v>65.0</v>
      </c>
      <c r="Y434" s="4">
        <v>0.0</v>
      </c>
      <c r="Z434" s="4">
        <v>65.0</v>
      </c>
      <c r="AA434" s="4">
        <v>0.0</v>
      </c>
      <c r="AB434" s="4">
        <v>65.0</v>
      </c>
      <c r="AC434" s="5" t="s">
        <v>969</v>
      </c>
      <c r="AD434" s="5"/>
      <c r="AE434" s="7" t="s">
        <v>50</v>
      </c>
    </row>
    <row r="435">
      <c r="A435" s="4">
        <v>-8575491.2742</v>
      </c>
      <c r="B435" s="4">
        <v>4709328.6965</v>
      </c>
      <c r="C435" s="4">
        <v>362502.0</v>
      </c>
      <c r="D435" s="5" t="s">
        <v>442</v>
      </c>
      <c r="E435" s="5" t="s">
        <v>1716</v>
      </c>
      <c r="F435" s="5" t="s">
        <v>1717</v>
      </c>
      <c r="G435" s="5" t="s">
        <v>33</v>
      </c>
      <c r="H435" s="5" t="s">
        <v>34</v>
      </c>
      <c r="I435" s="4">
        <v>13.0</v>
      </c>
      <c r="J435" s="4">
        <v>38.91377141</v>
      </c>
      <c r="K435" s="4">
        <v>-77.03494651</v>
      </c>
      <c r="L435" s="4">
        <v>0.0</v>
      </c>
      <c r="M435" s="4">
        <v>0.0</v>
      </c>
      <c r="N435" s="4">
        <v>13.0</v>
      </c>
      <c r="O435" s="4">
        <v>0.0</v>
      </c>
      <c r="P435" s="4">
        <v>0.0</v>
      </c>
      <c r="Q435" s="5"/>
      <c r="R435" s="4">
        <v>332319.0</v>
      </c>
      <c r="S435" s="4">
        <v>396969.19</v>
      </c>
      <c r="T435" s="4">
        <v>138434.62</v>
      </c>
      <c r="U435" s="5" t="s">
        <v>1718</v>
      </c>
      <c r="V435" s="5" t="s">
        <v>36</v>
      </c>
      <c r="W435" s="4">
        <v>0.0</v>
      </c>
      <c r="X435" s="4">
        <v>0.0</v>
      </c>
      <c r="Y435" s="4">
        <v>13.0</v>
      </c>
      <c r="Z435" s="4">
        <v>13.0</v>
      </c>
      <c r="AA435" s="4">
        <v>145.0</v>
      </c>
      <c r="AB435" s="4">
        <v>158.0</v>
      </c>
      <c r="AC435" s="5" t="s">
        <v>1719</v>
      </c>
      <c r="AD435" s="5"/>
      <c r="AE435" s="7" t="s">
        <v>50</v>
      </c>
    </row>
    <row r="436">
      <c r="A436" s="4">
        <v>-8568713.011</v>
      </c>
      <c r="B436" s="4">
        <v>4703287.3231</v>
      </c>
      <c r="C436" s="4">
        <v>362504.0</v>
      </c>
      <c r="D436" s="5" t="s">
        <v>45</v>
      </c>
      <c r="E436" s="5" t="s">
        <v>1720</v>
      </c>
      <c r="F436" s="5" t="s">
        <v>1721</v>
      </c>
      <c r="G436" s="5" t="s">
        <v>33</v>
      </c>
      <c r="H436" s="5" t="s">
        <v>34</v>
      </c>
      <c r="I436" s="4">
        <v>2.0</v>
      </c>
      <c r="J436" s="4">
        <v>38.87153168</v>
      </c>
      <c r="K436" s="4">
        <v>-76.97405636</v>
      </c>
      <c r="L436" s="4">
        <v>0.0</v>
      </c>
      <c r="M436" s="4">
        <v>0.0</v>
      </c>
      <c r="N436" s="4">
        <v>2.0</v>
      </c>
      <c r="O436" s="4">
        <v>0.0</v>
      </c>
      <c r="P436" s="4">
        <v>0.0</v>
      </c>
      <c r="Q436" s="5"/>
      <c r="R436" s="4">
        <v>50278.0</v>
      </c>
      <c r="S436" s="4">
        <v>402251.35</v>
      </c>
      <c r="T436" s="4">
        <v>133745.38</v>
      </c>
      <c r="U436" s="5" t="s">
        <v>1722</v>
      </c>
      <c r="V436" s="5" t="s">
        <v>36</v>
      </c>
      <c r="W436" s="4">
        <v>0.0</v>
      </c>
      <c r="X436" s="4">
        <v>0.0</v>
      </c>
      <c r="Y436" s="4">
        <v>2.0</v>
      </c>
      <c r="Z436" s="4">
        <v>2.0</v>
      </c>
      <c r="AA436" s="4">
        <v>17.0</v>
      </c>
      <c r="AB436" s="4">
        <v>19.0</v>
      </c>
      <c r="AC436" s="5" t="s">
        <v>1723</v>
      </c>
      <c r="AD436" s="5"/>
      <c r="AE436" s="7" t="s">
        <v>50</v>
      </c>
    </row>
    <row r="437">
      <c r="A437" s="4">
        <v>-8574088.6</v>
      </c>
      <c r="B437" s="4">
        <v>4711017.4995</v>
      </c>
      <c r="C437" s="4">
        <v>362505.0</v>
      </c>
      <c r="D437" s="5" t="s">
        <v>114</v>
      </c>
      <c r="E437" s="5" t="s">
        <v>1724</v>
      </c>
      <c r="F437" s="5" t="s">
        <v>1725</v>
      </c>
      <c r="G437" s="5" t="s">
        <v>33</v>
      </c>
      <c r="H437" s="5" t="s">
        <v>1334</v>
      </c>
      <c r="I437" s="4">
        <v>80.0</v>
      </c>
      <c r="J437" s="4">
        <v>38.92557468</v>
      </c>
      <c r="K437" s="4">
        <v>-77.02234608</v>
      </c>
      <c r="L437" s="4">
        <v>0.0</v>
      </c>
      <c r="M437" s="4">
        <v>0.0</v>
      </c>
      <c r="N437" s="4">
        <v>80.0</v>
      </c>
      <c r="O437" s="4">
        <v>0.0</v>
      </c>
      <c r="P437" s="4">
        <v>0.0</v>
      </c>
      <c r="Q437" s="5"/>
      <c r="R437" s="4">
        <v>229520.0</v>
      </c>
      <c r="S437" s="4">
        <v>398062.31</v>
      </c>
      <c r="T437" s="4">
        <v>139744.54</v>
      </c>
      <c r="U437" s="5" t="s">
        <v>1726</v>
      </c>
      <c r="V437" s="5" t="s">
        <v>36</v>
      </c>
      <c r="W437" s="4">
        <v>0.0</v>
      </c>
      <c r="X437" s="4">
        <v>80.0</v>
      </c>
      <c r="Y437" s="4">
        <v>0.0</v>
      </c>
      <c r="Z437" s="4">
        <v>80.0</v>
      </c>
      <c r="AA437" s="4">
        <v>0.0</v>
      </c>
      <c r="AB437" s="4">
        <v>80.0</v>
      </c>
      <c r="AC437" s="5" t="s">
        <v>1727</v>
      </c>
      <c r="AD437" s="5"/>
      <c r="AE437" s="7" t="s">
        <v>50</v>
      </c>
    </row>
    <row r="438">
      <c r="A438" s="4">
        <v>-8567135.0672</v>
      </c>
      <c r="B438" s="4">
        <v>4703101.9047</v>
      </c>
      <c r="C438" s="4">
        <v>362506.0</v>
      </c>
      <c r="D438" s="5" t="s">
        <v>30</v>
      </c>
      <c r="E438" s="5" t="s">
        <v>1728</v>
      </c>
      <c r="F438" s="5" t="s">
        <v>1729</v>
      </c>
      <c r="G438" s="5" t="s">
        <v>310</v>
      </c>
      <c r="H438" s="5" t="s">
        <v>1730</v>
      </c>
      <c r="I438" s="4">
        <v>170.0</v>
      </c>
      <c r="J438" s="4">
        <v>38.87023454</v>
      </c>
      <c r="K438" s="4">
        <v>-76.95988145</v>
      </c>
      <c r="L438" s="4">
        <v>10.0</v>
      </c>
      <c r="M438" s="4">
        <v>0.0</v>
      </c>
      <c r="N438" s="4">
        <v>104.0</v>
      </c>
      <c r="O438" s="4">
        <v>56.0</v>
      </c>
      <c r="P438" s="4">
        <v>0.0</v>
      </c>
      <c r="Q438" s="5"/>
      <c r="R438" s="4">
        <v>337832.0</v>
      </c>
      <c r="S438" s="4">
        <v>403481.49</v>
      </c>
      <c r="T438" s="4">
        <v>133601.87</v>
      </c>
      <c r="U438" s="5" t="s">
        <v>1731</v>
      </c>
      <c r="V438" s="5" t="s">
        <v>36</v>
      </c>
      <c r="W438" s="4">
        <v>0.0</v>
      </c>
      <c r="X438" s="4">
        <v>0.0</v>
      </c>
      <c r="Y438" s="4">
        <v>170.0</v>
      </c>
      <c r="Z438" s="4">
        <v>170.0</v>
      </c>
      <c r="AA438" s="4">
        <v>19.0</v>
      </c>
      <c r="AB438" s="4">
        <v>189.0</v>
      </c>
      <c r="AC438" s="5"/>
      <c r="AD438" s="5"/>
      <c r="AE438" s="7" t="s">
        <v>1138</v>
      </c>
    </row>
    <row r="439">
      <c r="A439" s="4">
        <v>-8569390.3163</v>
      </c>
      <c r="B439" s="4">
        <v>4707082.0938</v>
      </c>
      <c r="C439" s="4">
        <v>362510.0</v>
      </c>
      <c r="D439" s="5" t="s">
        <v>30</v>
      </c>
      <c r="E439" s="5" t="s">
        <v>1732</v>
      </c>
      <c r="F439" s="5" t="s">
        <v>1733</v>
      </c>
      <c r="G439" s="5" t="s">
        <v>33</v>
      </c>
      <c r="H439" s="5" t="s">
        <v>1734</v>
      </c>
      <c r="I439" s="4">
        <v>0.0</v>
      </c>
      <c r="J439" s="4">
        <v>38.89805186</v>
      </c>
      <c r="K439" s="4">
        <v>-76.98015118</v>
      </c>
      <c r="L439" s="4">
        <v>0.0</v>
      </c>
      <c r="M439" s="4">
        <v>0.0</v>
      </c>
      <c r="N439" s="4">
        <v>0.0</v>
      </c>
      <c r="O439" s="4">
        <v>0.0</v>
      </c>
      <c r="P439" s="4">
        <v>2.0</v>
      </c>
      <c r="Q439" s="5"/>
      <c r="R439" s="4">
        <v>286390.0</v>
      </c>
      <c r="S439" s="4">
        <v>401722.72</v>
      </c>
      <c r="T439" s="4">
        <v>136690.86</v>
      </c>
      <c r="U439" s="5" t="s">
        <v>1735</v>
      </c>
      <c r="V439" s="5" t="s">
        <v>36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2.0</v>
      </c>
      <c r="AC439" s="5" t="s">
        <v>1736</v>
      </c>
      <c r="AD439" s="5"/>
      <c r="AE439" s="7" t="s">
        <v>50</v>
      </c>
    </row>
    <row r="440">
      <c r="A440" s="4">
        <v>-8570449.7391</v>
      </c>
      <c r="B440" s="4">
        <v>4701397.6295</v>
      </c>
      <c r="C440" s="4">
        <v>362511.0</v>
      </c>
      <c r="D440" s="5" t="s">
        <v>45</v>
      </c>
      <c r="E440" s="5" t="s">
        <v>1737</v>
      </c>
      <c r="F440" s="5" t="s">
        <v>1738</v>
      </c>
      <c r="G440" s="5" t="s">
        <v>33</v>
      </c>
      <c r="H440" s="5" t="s">
        <v>1334</v>
      </c>
      <c r="I440" s="4">
        <v>353.0</v>
      </c>
      <c r="J440" s="4">
        <v>38.85831416</v>
      </c>
      <c r="K440" s="4">
        <v>-76.98965765</v>
      </c>
      <c r="L440" s="4">
        <v>0.0</v>
      </c>
      <c r="M440" s="4">
        <v>176.0</v>
      </c>
      <c r="N440" s="4">
        <v>88.0</v>
      </c>
      <c r="O440" s="4">
        <v>89.0</v>
      </c>
      <c r="P440" s="4">
        <v>0.0</v>
      </c>
      <c r="Q440" s="5"/>
      <c r="R440" s="4">
        <v>287156.0</v>
      </c>
      <c r="S440" s="4">
        <v>400897.66</v>
      </c>
      <c r="T440" s="4">
        <v>132277.87</v>
      </c>
      <c r="U440" s="5" t="s">
        <v>1739</v>
      </c>
      <c r="V440" s="5" t="s">
        <v>36</v>
      </c>
      <c r="W440" s="4">
        <v>0.0</v>
      </c>
      <c r="X440" s="4">
        <v>353.0</v>
      </c>
      <c r="Y440" s="4">
        <v>0.0</v>
      </c>
      <c r="Z440" s="4">
        <v>353.0</v>
      </c>
      <c r="AA440" s="4">
        <v>0.0</v>
      </c>
      <c r="AB440" s="4">
        <v>353.0</v>
      </c>
      <c r="AC440" s="5" t="s">
        <v>1740</v>
      </c>
      <c r="AD440" s="5"/>
      <c r="AE440" s="7" t="s">
        <v>50</v>
      </c>
    </row>
    <row r="441">
      <c r="A441" s="4">
        <v>-8570902.5052</v>
      </c>
      <c r="B441" s="4">
        <v>4712530.0941</v>
      </c>
      <c r="C441" s="4">
        <v>362516.0</v>
      </c>
      <c r="D441" s="5" t="s">
        <v>56</v>
      </c>
      <c r="E441" s="5" t="s">
        <v>1741</v>
      </c>
      <c r="F441" s="5" t="s">
        <v>1742</v>
      </c>
      <c r="G441" s="5" t="s">
        <v>310</v>
      </c>
      <c r="H441" s="5"/>
      <c r="I441" s="4">
        <v>32.0</v>
      </c>
      <c r="J441" s="4">
        <v>38.93614475</v>
      </c>
      <c r="K441" s="4">
        <v>-76.99372491</v>
      </c>
      <c r="L441" s="4">
        <v>0.0</v>
      </c>
      <c r="M441" s="4">
        <v>0.0</v>
      </c>
      <c r="N441" s="4">
        <v>32.0</v>
      </c>
      <c r="O441" s="4">
        <v>0.0</v>
      </c>
      <c r="P441" s="4">
        <v>0.0</v>
      </c>
      <c r="Q441" s="5" t="s">
        <v>1743</v>
      </c>
      <c r="R441" s="4">
        <v>31296.0</v>
      </c>
      <c r="S441" s="4">
        <v>400544.05</v>
      </c>
      <c r="T441" s="4">
        <v>140917.69</v>
      </c>
      <c r="U441" s="5" t="s">
        <v>1744</v>
      </c>
      <c r="V441" s="5" t="s">
        <v>36</v>
      </c>
      <c r="W441" s="4">
        <v>0.0</v>
      </c>
      <c r="X441" s="4">
        <v>0.0</v>
      </c>
      <c r="Y441" s="4">
        <v>32.0</v>
      </c>
      <c r="Z441" s="4">
        <v>32.0</v>
      </c>
      <c r="AA441" s="4">
        <v>305.0</v>
      </c>
      <c r="AB441" s="4">
        <v>337.0</v>
      </c>
      <c r="AC441" s="5"/>
      <c r="AD441" s="5"/>
      <c r="AE441" s="5" t="s">
        <v>870</v>
      </c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13"/>
      <c r="AC445" s="14"/>
      <c r="AD445" s="5"/>
      <c r="AE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14"/>
      <c r="AC446" s="14"/>
      <c r="AD446" s="5"/>
      <c r="AE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4"/>
      <c r="B452" s="4"/>
      <c r="C452" s="4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5"/>
      <c r="R452" s="4"/>
      <c r="S452" s="4"/>
      <c r="T452" s="4"/>
      <c r="U452" s="5"/>
      <c r="V452" s="5"/>
      <c r="W452" s="4"/>
      <c r="X452" s="4"/>
      <c r="Y452" s="4"/>
      <c r="Z452" s="4"/>
      <c r="AA452" s="4"/>
      <c r="AB452" s="4"/>
      <c r="AC452" s="5"/>
      <c r="AD452" s="5"/>
      <c r="AE452" s="5"/>
    </row>
    <row r="453">
      <c r="A453" s="4"/>
      <c r="B453" s="4"/>
      <c r="C453" s="4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5"/>
      <c r="R453" s="4"/>
      <c r="S453" s="4"/>
      <c r="T453" s="4"/>
      <c r="U453" s="5"/>
      <c r="V453" s="5"/>
      <c r="W453" s="4"/>
      <c r="X453" s="4"/>
      <c r="Y453" s="4"/>
      <c r="Z453" s="4"/>
      <c r="AA453" s="4"/>
      <c r="AB453" s="4"/>
      <c r="AC453" s="5"/>
      <c r="AD453" s="5"/>
      <c r="AE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4"/>
      <c r="B455" s="4"/>
      <c r="C455" s="4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5"/>
      <c r="R455" s="4"/>
      <c r="S455" s="4"/>
      <c r="T455" s="4"/>
      <c r="U455" s="5"/>
      <c r="V455" s="5"/>
      <c r="W455" s="4"/>
      <c r="X455" s="4"/>
      <c r="Y455" s="4"/>
      <c r="Z455" s="4"/>
      <c r="AA455" s="4"/>
      <c r="AB455" s="4"/>
      <c r="AC455" s="5"/>
      <c r="AD455" s="5"/>
      <c r="AE455" s="5"/>
    </row>
    <row r="456">
      <c r="A456" s="4"/>
      <c r="B456" s="4"/>
      <c r="C456" s="4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5"/>
      <c r="R456" s="4"/>
      <c r="S456" s="4"/>
      <c r="T456" s="4"/>
      <c r="U456" s="5"/>
      <c r="V456" s="5"/>
      <c r="W456" s="4"/>
      <c r="X456" s="4"/>
      <c r="Y456" s="4"/>
      <c r="Z456" s="4"/>
      <c r="AA456" s="4"/>
      <c r="AB456" s="4"/>
      <c r="AC456" s="5"/>
      <c r="AD456" s="5"/>
      <c r="AE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4"/>
      <c r="B458" s="4"/>
      <c r="C458" s="4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5"/>
      <c r="R458" s="4"/>
      <c r="S458" s="4"/>
      <c r="T458" s="4"/>
      <c r="U458" s="5"/>
      <c r="V458" s="5"/>
      <c r="W458" s="4"/>
      <c r="X458" s="4"/>
      <c r="Y458" s="4"/>
      <c r="Z458" s="4"/>
      <c r="AA458" s="4"/>
      <c r="AB458" s="4"/>
      <c r="AC458" s="5"/>
      <c r="AD458" s="5"/>
      <c r="AE458" s="5"/>
    </row>
    <row r="459">
      <c r="A459" s="4"/>
      <c r="B459" s="4"/>
      <c r="C459" s="4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5"/>
      <c r="R459" s="4"/>
      <c r="S459" s="4"/>
      <c r="T459" s="4"/>
      <c r="U459" s="5"/>
      <c r="V459" s="5"/>
      <c r="W459" s="4"/>
      <c r="X459" s="4"/>
      <c r="Y459" s="4"/>
      <c r="Z459" s="4"/>
      <c r="AA459" s="4"/>
      <c r="AB459" s="4"/>
      <c r="AC459" s="5"/>
      <c r="AD459" s="5"/>
      <c r="AE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4"/>
      <c r="B461" s="4"/>
      <c r="C461" s="4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5"/>
      <c r="R461" s="4"/>
      <c r="S461" s="4"/>
      <c r="T461" s="4"/>
      <c r="U461" s="5"/>
      <c r="V461" s="5"/>
      <c r="W461" s="4"/>
      <c r="X461" s="4"/>
      <c r="Y461" s="4"/>
      <c r="Z461" s="4"/>
      <c r="AA461" s="4"/>
      <c r="AB461" s="4"/>
      <c r="AC461" s="5"/>
      <c r="AD461" s="5"/>
      <c r="AE461" s="5"/>
    </row>
    <row r="462">
      <c r="A462" s="4"/>
      <c r="B462" s="4"/>
      <c r="C462" s="4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5"/>
      <c r="R462" s="4"/>
      <c r="S462" s="4"/>
      <c r="T462" s="4"/>
      <c r="U462" s="5"/>
      <c r="V462" s="5"/>
      <c r="W462" s="4"/>
      <c r="X462" s="4"/>
      <c r="Y462" s="4"/>
      <c r="Z462" s="4"/>
      <c r="AA462" s="4"/>
      <c r="AB462" s="4"/>
      <c r="AC462" s="5"/>
      <c r="AD462" s="5"/>
      <c r="AE462" s="5"/>
    </row>
    <row r="463">
      <c r="A463" s="4"/>
      <c r="B463" s="4"/>
      <c r="C463" s="4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5"/>
      <c r="R463" s="4"/>
      <c r="S463" s="4"/>
      <c r="T463" s="4"/>
      <c r="U463" s="5"/>
      <c r="V463" s="5"/>
      <c r="W463" s="4"/>
      <c r="X463" s="4"/>
      <c r="Y463" s="4"/>
      <c r="Z463" s="4"/>
      <c r="AA463" s="4"/>
      <c r="AB463" s="4"/>
      <c r="AC463" s="5"/>
      <c r="AD463" s="5"/>
      <c r="AE463" s="5"/>
    </row>
    <row r="464">
      <c r="A464" s="4"/>
      <c r="B464" s="4"/>
      <c r="C464" s="4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5"/>
      <c r="R464" s="4"/>
      <c r="S464" s="4"/>
      <c r="T464" s="4"/>
      <c r="U464" s="5"/>
      <c r="V464" s="5"/>
      <c r="W464" s="4"/>
      <c r="X464" s="4"/>
      <c r="Y464" s="4"/>
      <c r="Z464" s="4"/>
      <c r="AA464" s="4"/>
      <c r="AB464" s="4"/>
      <c r="AC464" s="5"/>
      <c r="AD464" s="5"/>
      <c r="AE464" s="5"/>
    </row>
    <row r="465">
      <c r="A465" s="4"/>
      <c r="B465" s="4"/>
      <c r="C465" s="4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5"/>
      <c r="R465" s="4"/>
      <c r="S465" s="4"/>
      <c r="T465" s="4"/>
      <c r="U465" s="5"/>
      <c r="V465" s="5"/>
      <c r="W465" s="4"/>
      <c r="X465" s="4"/>
      <c r="Y465" s="4"/>
      <c r="Z465" s="4"/>
      <c r="AA465" s="4"/>
      <c r="AB465" s="4"/>
      <c r="AC465" s="5"/>
      <c r="AD465" s="5"/>
      <c r="AE465" s="5"/>
    </row>
    <row r="466">
      <c r="A466" s="4"/>
      <c r="B466" s="4"/>
      <c r="C466" s="4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5"/>
      <c r="R466" s="4"/>
      <c r="S466" s="4"/>
      <c r="T466" s="4"/>
      <c r="U466" s="5"/>
      <c r="V466" s="5"/>
      <c r="W466" s="4"/>
      <c r="X466" s="4"/>
      <c r="Y466" s="4"/>
      <c r="Z466" s="4"/>
      <c r="AA466" s="4"/>
      <c r="AB466" s="4"/>
      <c r="AC466" s="5"/>
      <c r="AD466" s="5"/>
      <c r="AE466" s="5"/>
    </row>
    <row r="467">
      <c r="A467" s="4"/>
      <c r="B467" s="4"/>
      <c r="C467" s="4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5"/>
      <c r="R467" s="4"/>
      <c r="S467" s="4"/>
      <c r="T467" s="4"/>
      <c r="U467" s="5"/>
      <c r="V467" s="5"/>
      <c r="W467" s="4"/>
      <c r="X467" s="4"/>
      <c r="Y467" s="4"/>
      <c r="Z467" s="4"/>
      <c r="AA467" s="4"/>
      <c r="AB467" s="4"/>
      <c r="AC467" s="5"/>
      <c r="AD467" s="5"/>
      <c r="AE467" s="5"/>
    </row>
    <row r="468">
      <c r="A468" s="4"/>
      <c r="B468" s="4"/>
      <c r="C468" s="4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5"/>
      <c r="R468" s="4"/>
      <c r="S468" s="4"/>
      <c r="T468" s="4"/>
      <c r="U468" s="5"/>
      <c r="V468" s="5"/>
      <c r="W468" s="4"/>
      <c r="X468" s="4"/>
      <c r="Y468" s="4"/>
      <c r="Z468" s="4"/>
      <c r="AA468" s="4"/>
      <c r="AB468" s="4"/>
      <c r="AC468" s="5"/>
      <c r="AD468" s="5"/>
      <c r="AE468" s="5"/>
    </row>
    <row r="469">
      <c r="A469" s="4"/>
      <c r="B469" s="4"/>
      <c r="C469" s="4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5"/>
      <c r="R469" s="4"/>
      <c r="S469" s="4"/>
      <c r="T469" s="4"/>
      <c r="U469" s="5"/>
      <c r="V469" s="5"/>
      <c r="W469" s="4"/>
      <c r="X469" s="4"/>
      <c r="Y469" s="4"/>
      <c r="Z469" s="4"/>
      <c r="AA469" s="4"/>
      <c r="AB469" s="4"/>
      <c r="AC469" s="5"/>
      <c r="AD469" s="5"/>
      <c r="AE469" s="5"/>
    </row>
    <row r="470">
      <c r="A470" s="4"/>
      <c r="B470" s="4"/>
      <c r="C470" s="4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5"/>
      <c r="R470" s="4"/>
      <c r="S470" s="4"/>
      <c r="T470" s="4"/>
      <c r="U470" s="5"/>
      <c r="V470" s="5"/>
      <c r="W470" s="4"/>
      <c r="X470" s="4"/>
      <c r="Y470" s="4"/>
      <c r="Z470" s="4"/>
      <c r="AA470" s="4"/>
      <c r="AB470" s="4"/>
      <c r="AC470" s="5"/>
      <c r="AD470" s="5"/>
      <c r="AE470" s="5"/>
    </row>
    <row r="471">
      <c r="A471" s="4"/>
      <c r="B471" s="4"/>
      <c r="C471" s="4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5"/>
      <c r="R471" s="4"/>
      <c r="S471" s="4"/>
      <c r="T471" s="4"/>
      <c r="U471" s="5"/>
      <c r="V471" s="5"/>
      <c r="W471" s="4"/>
      <c r="X471" s="4"/>
      <c r="Y471" s="4"/>
      <c r="Z471" s="4"/>
      <c r="AA471" s="4"/>
      <c r="AB471" s="4"/>
      <c r="AC471" s="5"/>
      <c r="AD471" s="5"/>
      <c r="AE471" s="5"/>
    </row>
    <row r="472">
      <c r="A472" s="4"/>
      <c r="B472" s="4"/>
      <c r="C472" s="4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5"/>
      <c r="R472" s="4"/>
      <c r="S472" s="4"/>
      <c r="T472" s="4"/>
      <c r="U472" s="5"/>
      <c r="V472" s="5"/>
      <c r="W472" s="4"/>
      <c r="X472" s="4"/>
      <c r="Y472" s="4"/>
      <c r="Z472" s="4"/>
      <c r="AA472" s="4"/>
      <c r="AB472" s="4"/>
      <c r="AC472" s="5"/>
      <c r="AD472" s="5"/>
      <c r="AE472" s="5"/>
    </row>
    <row r="473">
      <c r="A473" s="4"/>
      <c r="B473" s="4"/>
      <c r="C473" s="4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5"/>
      <c r="R473" s="4"/>
      <c r="S473" s="4"/>
      <c r="T473" s="4"/>
      <c r="U473" s="5"/>
      <c r="V473" s="5"/>
      <c r="W473" s="4"/>
      <c r="X473" s="4"/>
      <c r="Y473" s="4"/>
      <c r="Z473" s="4"/>
      <c r="AA473" s="4"/>
      <c r="AB473" s="4"/>
      <c r="AC473" s="5"/>
      <c r="AD473" s="5"/>
      <c r="AE473" s="5"/>
    </row>
    <row r="474">
      <c r="A474" s="4"/>
      <c r="B474" s="4"/>
      <c r="C474" s="4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5"/>
      <c r="R474" s="4"/>
      <c r="S474" s="4"/>
      <c r="T474" s="4"/>
      <c r="U474" s="5"/>
      <c r="V474" s="5"/>
      <c r="W474" s="4"/>
      <c r="X474" s="4"/>
      <c r="Y474" s="4"/>
      <c r="Z474" s="4"/>
      <c r="AA474" s="4"/>
      <c r="AB474" s="4"/>
      <c r="AC474" s="5"/>
      <c r="AD474" s="5"/>
      <c r="AE474" s="5"/>
    </row>
    <row r="475">
      <c r="A475" s="4"/>
      <c r="B475" s="4"/>
      <c r="C475" s="4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5"/>
      <c r="R475" s="4"/>
      <c r="S475" s="4"/>
      <c r="T475" s="4"/>
      <c r="U475" s="5"/>
      <c r="V475" s="5"/>
      <c r="W475" s="4"/>
      <c r="X475" s="4"/>
      <c r="Y475" s="4"/>
      <c r="Z475" s="4"/>
      <c r="AA475" s="4"/>
      <c r="AB475" s="4"/>
      <c r="AC475" s="5"/>
      <c r="AD475" s="5"/>
      <c r="AE475" s="5"/>
    </row>
    <row r="476">
      <c r="A476" s="4"/>
      <c r="B476" s="4"/>
      <c r="C476" s="4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5"/>
      <c r="R476" s="4"/>
      <c r="S476" s="4"/>
      <c r="T476" s="4"/>
      <c r="U476" s="5"/>
      <c r="V476" s="5"/>
      <c r="W476" s="4"/>
      <c r="X476" s="4"/>
      <c r="Y476" s="4"/>
      <c r="Z476" s="4"/>
      <c r="AA476" s="4"/>
      <c r="AB476" s="4"/>
      <c r="AC476" s="5"/>
      <c r="AD476" s="5"/>
      <c r="AE476" s="5"/>
    </row>
    <row r="477">
      <c r="A477" s="4"/>
      <c r="B477" s="4"/>
      <c r="C477" s="4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5"/>
      <c r="R477" s="4"/>
      <c r="S477" s="4"/>
      <c r="T477" s="4"/>
      <c r="U477" s="5"/>
      <c r="V477" s="5"/>
      <c r="W477" s="4"/>
      <c r="X477" s="4"/>
      <c r="Y477" s="4"/>
      <c r="Z477" s="4"/>
      <c r="AA477" s="4"/>
      <c r="AB477" s="4"/>
      <c r="AC477" s="5"/>
      <c r="AD477" s="5"/>
      <c r="AE477" s="5"/>
    </row>
    <row r="478">
      <c r="A478" s="4"/>
      <c r="B478" s="4"/>
      <c r="C478" s="4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5"/>
      <c r="R478" s="4"/>
      <c r="S478" s="4"/>
      <c r="T478" s="4"/>
      <c r="U478" s="5"/>
      <c r="V478" s="5"/>
      <c r="W478" s="4"/>
      <c r="X478" s="4"/>
      <c r="Y478" s="4"/>
      <c r="Z478" s="4"/>
      <c r="AA478" s="4"/>
      <c r="AB478" s="4"/>
      <c r="AC478" s="5"/>
      <c r="AD478" s="5"/>
      <c r="AE478" s="5"/>
    </row>
    <row r="479">
      <c r="A479" s="4"/>
      <c r="B479" s="4"/>
      <c r="C479" s="4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5"/>
      <c r="R479" s="4"/>
      <c r="S479" s="4"/>
      <c r="T479" s="4"/>
      <c r="U479" s="5"/>
      <c r="V479" s="5"/>
      <c r="W479" s="4"/>
      <c r="X479" s="4"/>
      <c r="Y479" s="4"/>
      <c r="Z479" s="4"/>
      <c r="AA479" s="4"/>
      <c r="AB479" s="4"/>
      <c r="AC479" s="5"/>
      <c r="AD479" s="5"/>
      <c r="AE479" s="5"/>
    </row>
    <row r="480">
      <c r="A480" s="4"/>
      <c r="B480" s="4"/>
      <c r="C480" s="4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5"/>
      <c r="R480" s="4"/>
      <c r="S480" s="4"/>
      <c r="T480" s="4"/>
      <c r="U480" s="5"/>
      <c r="V480" s="5"/>
      <c r="W480" s="4"/>
      <c r="X480" s="4"/>
      <c r="Y480" s="4"/>
      <c r="Z480" s="4"/>
      <c r="AA480" s="4"/>
      <c r="AB480" s="4"/>
      <c r="AC480" s="5"/>
      <c r="AD480" s="5"/>
      <c r="AE480" s="5"/>
    </row>
    <row r="481">
      <c r="A481" s="4"/>
      <c r="B481" s="4"/>
      <c r="C481" s="4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5"/>
      <c r="R481" s="4"/>
      <c r="S481" s="4"/>
      <c r="T481" s="4"/>
      <c r="U481" s="5"/>
      <c r="V481" s="5"/>
      <c r="W481" s="4"/>
      <c r="X481" s="4"/>
      <c r="Y481" s="4"/>
      <c r="Z481" s="4"/>
      <c r="AA481" s="4"/>
      <c r="AB481" s="4"/>
      <c r="AC481" s="5"/>
      <c r="AD481" s="5"/>
      <c r="AE481" s="5"/>
    </row>
    <row r="482">
      <c r="A482" s="4"/>
      <c r="B482" s="4"/>
      <c r="C482" s="4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5"/>
      <c r="R482" s="4"/>
      <c r="S482" s="4"/>
      <c r="T482" s="4"/>
      <c r="U482" s="5"/>
      <c r="V482" s="5"/>
      <c r="W482" s="4"/>
      <c r="X482" s="4"/>
      <c r="Y482" s="4"/>
      <c r="Z482" s="4"/>
      <c r="AA482" s="4"/>
      <c r="AB482" s="4"/>
      <c r="AC482" s="5"/>
      <c r="AD482" s="5"/>
      <c r="AE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4"/>
      <c r="B484" s="4"/>
      <c r="C484" s="4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5"/>
      <c r="R484" s="4"/>
      <c r="S484" s="4"/>
      <c r="T484" s="4"/>
      <c r="U484" s="5"/>
      <c r="V484" s="5"/>
      <c r="W484" s="4"/>
      <c r="X484" s="4"/>
      <c r="Y484" s="4"/>
      <c r="Z484" s="4"/>
      <c r="AA484" s="4"/>
      <c r="AB484" s="4"/>
      <c r="AC484" s="5"/>
      <c r="AD484" s="5"/>
      <c r="AE484" s="5"/>
    </row>
    <row r="485">
      <c r="A485" s="4"/>
      <c r="B485" s="4"/>
      <c r="C485" s="4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5"/>
      <c r="R485" s="4"/>
      <c r="S485" s="4"/>
      <c r="T485" s="4"/>
      <c r="U485" s="5"/>
      <c r="V485" s="5"/>
      <c r="W485" s="4"/>
      <c r="X485" s="4"/>
      <c r="Y485" s="4"/>
      <c r="Z485" s="4"/>
      <c r="AA485" s="4"/>
      <c r="AB485" s="4"/>
      <c r="AC485" s="5"/>
      <c r="AD485" s="5"/>
      <c r="AE485" s="5"/>
    </row>
    <row r="486">
      <c r="A486" s="4"/>
      <c r="B486" s="4"/>
      <c r="C486" s="4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5"/>
      <c r="R486" s="4"/>
      <c r="S486" s="4"/>
      <c r="T486" s="4"/>
      <c r="U486" s="5"/>
      <c r="V486" s="5"/>
      <c r="W486" s="4"/>
      <c r="X486" s="4"/>
      <c r="Y486" s="4"/>
      <c r="Z486" s="4"/>
      <c r="AA486" s="4"/>
      <c r="AB486" s="4"/>
      <c r="AC486" s="5"/>
      <c r="AD486" s="5"/>
      <c r="AE486" s="5"/>
    </row>
    <row r="487">
      <c r="A487" s="4"/>
      <c r="B487" s="4"/>
      <c r="C487" s="4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5"/>
      <c r="R487" s="4"/>
      <c r="S487" s="4"/>
      <c r="T487" s="4"/>
      <c r="U487" s="5"/>
      <c r="V487" s="5"/>
      <c r="W487" s="4"/>
      <c r="X487" s="4"/>
      <c r="Y487" s="4"/>
      <c r="Z487" s="4"/>
      <c r="AA487" s="4"/>
      <c r="AB487" s="4"/>
      <c r="AC487" s="5"/>
      <c r="AD487" s="5"/>
      <c r="AE487" s="5"/>
    </row>
    <row r="488">
      <c r="A488" s="4"/>
      <c r="B488" s="4"/>
      <c r="C488" s="4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5"/>
      <c r="R488" s="4"/>
      <c r="S488" s="4"/>
      <c r="T488" s="4"/>
      <c r="U488" s="5"/>
      <c r="V488" s="5"/>
      <c r="W488" s="4"/>
      <c r="X488" s="4"/>
      <c r="Y488" s="4"/>
      <c r="Z488" s="4"/>
      <c r="AA488" s="4"/>
      <c r="AB488" s="4"/>
      <c r="AC488" s="5"/>
      <c r="AD488" s="5"/>
      <c r="AE488" s="5"/>
    </row>
    <row r="489">
      <c r="A489" s="4"/>
      <c r="B489" s="4"/>
      <c r="C489" s="4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5"/>
      <c r="R489" s="4"/>
      <c r="S489" s="4"/>
      <c r="T489" s="4"/>
      <c r="U489" s="5"/>
      <c r="V489" s="5"/>
      <c r="W489" s="4"/>
      <c r="X489" s="4"/>
      <c r="Y489" s="4"/>
      <c r="Z489" s="4"/>
      <c r="AA489" s="4"/>
      <c r="AB489" s="4"/>
      <c r="AC489" s="5"/>
      <c r="AD489" s="5"/>
      <c r="AE489" s="5"/>
    </row>
    <row r="490">
      <c r="A490" s="4"/>
      <c r="B490" s="4"/>
      <c r="C490" s="4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5"/>
      <c r="R490" s="4"/>
      <c r="S490" s="4"/>
      <c r="T490" s="4"/>
      <c r="U490" s="5"/>
      <c r="V490" s="5"/>
      <c r="W490" s="4"/>
      <c r="X490" s="4"/>
      <c r="Y490" s="4"/>
      <c r="Z490" s="4"/>
      <c r="AA490" s="4"/>
      <c r="AB490" s="4"/>
      <c r="AC490" s="5"/>
      <c r="AD490" s="5"/>
      <c r="AE490" s="5"/>
    </row>
    <row r="491">
      <c r="A491" s="4"/>
      <c r="B491" s="4"/>
      <c r="C491" s="4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5"/>
      <c r="R491" s="4"/>
      <c r="S491" s="4"/>
      <c r="T491" s="4"/>
      <c r="U491" s="5"/>
      <c r="V491" s="5"/>
      <c r="W491" s="4"/>
      <c r="X491" s="4"/>
      <c r="Y491" s="4"/>
      <c r="Z491" s="4"/>
      <c r="AA491" s="4"/>
      <c r="AB491" s="4"/>
      <c r="AC491" s="5"/>
      <c r="AD491" s="5"/>
      <c r="AE491" s="5"/>
    </row>
    <row r="492">
      <c r="A492" s="4"/>
      <c r="B492" s="4"/>
      <c r="C492" s="4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5"/>
      <c r="R492" s="4"/>
      <c r="S492" s="4"/>
      <c r="T492" s="4"/>
      <c r="U492" s="5"/>
      <c r="V492" s="5"/>
      <c r="W492" s="4"/>
      <c r="X492" s="4"/>
      <c r="Y492" s="4"/>
      <c r="Z492" s="4"/>
      <c r="AA492" s="4"/>
      <c r="AB492" s="4"/>
      <c r="AC492" s="5"/>
      <c r="AD492" s="5"/>
      <c r="AE492" s="5"/>
    </row>
    <row r="493">
      <c r="A493" s="4"/>
      <c r="B493" s="4"/>
      <c r="C493" s="4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5"/>
      <c r="R493" s="4"/>
      <c r="S493" s="4"/>
      <c r="T493" s="4"/>
      <c r="U493" s="5"/>
      <c r="V493" s="5"/>
      <c r="W493" s="4"/>
      <c r="X493" s="4"/>
      <c r="Y493" s="4"/>
      <c r="Z493" s="4"/>
      <c r="AA493" s="4"/>
      <c r="AB493" s="4"/>
      <c r="AC493" s="5"/>
      <c r="AD493" s="5"/>
      <c r="AE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4"/>
      <c r="B496" s="4"/>
      <c r="C496" s="4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5"/>
      <c r="R496" s="4"/>
      <c r="S496" s="4"/>
      <c r="T496" s="4"/>
      <c r="U496" s="5"/>
      <c r="V496" s="5"/>
      <c r="W496" s="4"/>
      <c r="X496" s="4"/>
      <c r="Y496" s="4"/>
      <c r="Z496" s="4"/>
      <c r="AA496" s="4"/>
      <c r="AB496" s="4"/>
      <c r="AC496" s="5"/>
      <c r="AD496" s="5"/>
      <c r="AE496" s="5"/>
    </row>
    <row r="497">
      <c r="A497" s="4"/>
      <c r="B497" s="4"/>
      <c r="C497" s="4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5"/>
      <c r="R497" s="4"/>
      <c r="S497" s="4"/>
      <c r="T497" s="4"/>
      <c r="U497" s="5"/>
      <c r="V497" s="5"/>
      <c r="W497" s="4"/>
      <c r="X497" s="4"/>
      <c r="Y497" s="4"/>
      <c r="Z497" s="4"/>
      <c r="AA497" s="4"/>
      <c r="AB497" s="4"/>
      <c r="AC497" s="5"/>
      <c r="AD497" s="5"/>
      <c r="AE497" s="5"/>
    </row>
    <row r="498">
      <c r="A498" s="4"/>
      <c r="B498" s="4"/>
      <c r="C498" s="4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5"/>
      <c r="R498" s="4"/>
      <c r="S498" s="4"/>
      <c r="T498" s="4"/>
      <c r="U498" s="5"/>
      <c r="V498" s="5"/>
      <c r="W498" s="4"/>
      <c r="X498" s="4"/>
      <c r="Y498" s="4"/>
      <c r="Z498" s="4"/>
      <c r="AA498" s="4"/>
      <c r="AB498" s="4"/>
      <c r="AC498" s="5"/>
      <c r="AD498" s="5"/>
      <c r="AE498" s="5"/>
    </row>
    <row r="499">
      <c r="A499" s="4"/>
      <c r="B499" s="4"/>
      <c r="C499" s="4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5"/>
      <c r="R499" s="4"/>
      <c r="S499" s="4"/>
      <c r="T499" s="4"/>
      <c r="U499" s="5"/>
      <c r="V499" s="5"/>
      <c r="W499" s="4"/>
      <c r="X499" s="4"/>
      <c r="Y499" s="4"/>
      <c r="Z499" s="4"/>
      <c r="AA499" s="4"/>
      <c r="AB499" s="4"/>
      <c r="AC499" s="5"/>
      <c r="AD499" s="5"/>
      <c r="AE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4"/>
      <c r="B501" s="4"/>
      <c r="C501" s="4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5"/>
      <c r="R501" s="4"/>
      <c r="S501" s="4"/>
      <c r="T501" s="4"/>
      <c r="U501" s="5"/>
      <c r="V501" s="5"/>
      <c r="W501" s="4"/>
      <c r="X501" s="4"/>
      <c r="Y501" s="4"/>
      <c r="Z501" s="4"/>
      <c r="AA501" s="4"/>
      <c r="AB501" s="4"/>
      <c r="AC501" s="5"/>
      <c r="AD501" s="5"/>
      <c r="AE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4"/>
      <c r="B503" s="4"/>
      <c r="C503" s="4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5"/>
      <c r="R503" s="4"/>
      <c r="S503" s="4"/>
      <c r="T503" s="4"/>
      <c r="U503" s="5"/>
      <c r="V503" s="5"/>
      <c r="W503" s="4"/>
      <c r="X503" s="4"/>
      <c r="Y503" s="4"/>
      <c r="Z503" s="4"/>
      <c r="AA503" s="4"/>
      <c r="AB503" s="4"/>
      <c r="AC503" s="5"/>
      <c r="AD503" s="5"/>
      <c r="AE503" s="5"/>
    </row>
    <row r="504">
      <c r="A504" s="4"/>
      <c r="B504" s="4"/>
      <c r="C504" s="4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5"/>
      <c r="R504" s="4"/>
      <c r="S504" s="4"/>
      <c r="T504" s="4"/>
      <c r="U504" s="5"/>
      <c r="V504" s="5"/>
      <c r="W504" s="4"/>
      <c r="X504" s="4"/>
      <c r="Y504" s="4"/>
      <c r="Z504" s="4"/>
      <c r="AA504" s="4"/>
      <c r="AB504" s="4"/>
      <c r="AC504" s="5"/>
      <c r="AD504" s="5"/>
      <c r="AE504" s="5"/>
    </row>
    <row r="505">
      <c r="A505" s="4"/>
      <c r="B505" s="4"/>
      <c r="C505" s="4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5"/>
      <c r="R505" s="4"/>
      <c r="S505" s="4"/>
      <c r="T505" s="4"/>
      <c r="U505" s="5"/>
      <c r="V505" s="5"/>
      <c r="W505" s="4"/>
      <c r="X505" s="4"/>
      <c r="Y505" s="4"/>
      <c r="Z505" s="4"/>
      <c r="AA505" s="4"/>
      <c r="AB505" s="4"/>
      <c r="AC505" s="5"/>
      <c r="AD505" s="5"/>
      <c r="AE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4"/>
      <c r="B508" s="4"/>
      <c r="C508" s="4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5"/>
      <c r="R508" s="4"/>
      <c r="S508" s="4"/>
      <c r="T508" s="4"/>
      <c r="U508" s="5"/>
      <c r="V508" s="5"/>
      <c r="W508" s="4"/>
      <c r="X508" s="4"/>
      <c r="Y508" s="4"/>
      <c r="Z508" s="4"/>
      <c r="AA508" s="4"/>
      <c r="AB508" s="4"/>
      <c r="AC508" s="5"/>
      <c r="AD508" s="5"/>
      <c r="AE508" s="5"/>
    </row>
    <row r="509">
      <c r="A509" s="4"/>
      <c r="B509" s="4"/>
      <c r="C509" s="4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5"/>
      <c r="R509" s="4"/>
      <c r="S509" s="4"/>
      <c r="T509" s="4"/>
      <c r="U509" s="5"/>
      <c r="V509" s="5"/>
      <c r="W509" s="4"/>
      <c r="X509" s="4"/>
      <c r="Y509" s="4"/>
      <c r="Z509" s="4"/>
      <c r="AA509" s="4"/>
      <c r="AB509" s="4"/>
      <c r="AC509" s="5"/>
      <c r="AD509" s="5"/>
      <c r="AE509" s="5"/>
    </row>
    <row r="510">
      <c r="A510" s="4"/>
      <c r="B510" s="4"/>
      <c r="C510" s="4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5"/>
      <c r="R510" s="4"/>
      <c r="S510" s="4"/>
      <c r="T510" s="4"/>
      <c r="U510" s="5"/>
      <c r="V510" s="5"/>
      <c r="W510" s="4"/>
      <c r="X510" s="4"/>
      <c r="Y510" s="4"/>
      <c r="Z510" s="4"/>
      <c r="AA510" s="4"/>
      <c r="AB510" s="4"/>
      <c r="AC510" s="5"/>
      <c r="AD510" s="5"/>
      <c r="AE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4"/>
      <c r="B514" s="4"/>
      <c r="C514" s="4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5"/>
      <c r="R514" s="4"/>
      <c r="S514" s="4"/>
      <c r="T514" s="4"/>
      <c r="U514" s="5"/>
      <c r="V514" s="5"/>
      <c r="W514" s="4"/>
      <c r="X514" s="4"/>
      <c r="Y514" s="4"/>
      <c r="Z514" s="4"/>
      <c r="AA514" s="4"/>
      <c r="AB514" s="4"/>
      <c r="AC514" s="5"/>
      <c r="AD514" s="5"/>
      <c r="AE514" s="5"/>
    </row>
    <row r="515">
      <c r="A515" s="4"/>
      <c r="B515" s="4"/>
      <c r="C515" s="4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5"/>
      <c r="R515" s="4"/>
      <c r="S515" s="4"/>
      <c r="T515" s="4"/>
      <c r="U515" s="5"/>
      <c r="V515" s="5"/>
      <c r="W515" s="4"/>
      <c r="X515" s="4"/>
      <c r="Y515" s="4"/>
      <c r="Z515" s="4"/>
      <c r="AA515" s="4"/>
      <c r="AB515" s="4"/>
      <c r="AC515" s="5"/>
      <c r="AD515" s="5"/>
      <c r="AE515" s="5"/>
    </row>
    <row r="516">
      <c r="A516" s="4"/>
      <c r="B516" s="4"/>
      <c r="C516" s="4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5"/>
      <c r="R516" s="4"/>
      <c r="S516" s="4"/>
      <c r="T516" s="4"/>
      <c r="U516" s="5"/>
      <c r="V516" s="5"/>
      <c r="W516" s="4"/>
      <c r="X516" s="4"/>
      <c r="Y516" s="4"/>
      <c r="Z516" s="4"/>
      <c r="AA516" s="4"/>
      <c r="AB516" s="4"/>
      <c r="AC516" s="5"/>
      <c r="AD516" s="5"/>
      <c r="AE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4"/>
      <c r="B518" s="4"/>
      <c r="C518" s="4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5"/>
      <c r="R518" s="4"/>
      <c r="S518" s="4"/>
      <c r="T518" s="4"/>
      <c r="U518" s="5"/>
      <c r="V518" s="5"/>
      <c r="W518" s="4"/>
      <c r="X518" s="4"/>
      <c r="Y518" s="4"/>
      <c r="Z518" s="4"/>
      <c r="AA518" s="4"/>
      <c r="AB518" s="4"/>
      <c r="AC518" s="5"/>
      <c r="AD518" s="5"/>
      <c r="AE518" s="5"/>
    </row>
    <row r="519">
      <c r="A519" s="4"/>
      <c r="B519" s="4"/>
      <c r="C519" s="4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5"/>
      <c r="R519" s="4"/>
      <c r="S519" s="4"/>
      <c r="T519" s="4"/>
      <c r="U519" s="5"/>
      <c r="V519" s="5"/>
      <c r="W519" s="4"/>
      <c r="X519" s="4"/>
      <c r="Y519" s="4"/>
      <c r="Z519" s="4"/>
      <c r="AA519" s="4"/>
      <c r="AB519" s="4"/>
      <c r="AC519" s="5"/>
      <c r="AD519" s="5"/>
      <c r="AE519" s="5"/>
    </row>
    <row r="520">
      <c r="A520" s="4"/>
      <c r="B520" s="4"/>
      <c r="C520" s="4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5"/>
      <c r="R520" s="4"/>
      <c r="S520" s="4"/>
      <c r="T520" s="4"/>
      <c r="U520" s="5"/>
      <c r="V520" s="5"/>
      <c r="W520" s="4"/>
      <c r="X520" s="4"/>
      <c r="Y520" s="4"/>
      <c r="Z520" s="4"/>
      <c r="AA520" s="4"/>
      <c r="AB520" s="4"/>
      <c r="AC520" s="5"/>
      <c r="AD520" s="5"/>
      <c r="AE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4"/>
      <c r="B523" s="4"/>
      <c r="C523" s="4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5"/>
      <c r="R523" s="4"/>
      <c r="S523" s="4"/>
      <c r="T523" s="4"/>
      <c r="U523" s="5"/>
      <c r="V523" s="5"/>
      <c r="W523" s="4"/>
      <c r="X523" s="4"/>
      <c r="Y523" s="4"/>
      <c r="Z523" s="4"/>
      <c r="AA523" s="4"/>
      <c r="AB523" s="4"/>
      <c r="AC523" s="5"/>
      <c r="AD523" s="5"/>
      <c r="AE523" s="5"/>
    </row>
    <row r="524">
      <c r="A524" s="4"/>
      <c r="B524" s="4"/>
      <c r="C524" s="4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5"/>
      <c r="R524" s="4"/>
      <c r="S524" s="4"/>
      <c r="T524" s="4"/>
      <c r="U524" s="5"/>
      <c r="V524" s="5"/>
      <c r="W524" s="4"/>
      <c r="X524" s="4"/>
      <c r="Y524" s="4"/>
      <c r="Z524" s="4"/>
      <c r="AA524" s="4"/>
      <c r="AB524" s="4"/>
      <c r="AC524" s="5"/>
      <c r="AD524" s="5"/>
      <c r="AE524" s="5"/>
    </row>
    <row r="525">
      <c r="A525" s="4"/>
      <c r="B525" s="4"/>
      <c r="C525" s="4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5"/>
      <c r="R525" s="4"/>
      <c r="S525" s="4"/>
      <c r="T525" s="4"/>
      <c r="U525" s="5"/>
      <c r="V525" s="5"/>
      <c r="W525" s="4"/>
      <c r="X525" s="4"/>
      <c r="Y525" s="4"/>
      <c r="Z525" s="4"/>
      <c r="AA525" s="4"/>
      <c r="AB525" s="4"/>
      <c r="AC525" s="5"/>
      <c r="AD525" s="5"/>
      <c r="AE525" s="5"/>
    </row>
    <row r="526">
      <c r="A526" s="4"/>
      <c r="B526" s="4"/>
      <c r="C526" s="4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5"/>
      <c r="R526" s="4"/>
      <c r="S526" s="4"/>
      <c r="T526" s="4"/>
      <c r="U526" s="5"/>
      <c r="V526" s="5"/>
      <c r="W526" s="4"/>
      <c r="X526" s="4"/>
      <c r="Y526" s="4"/>
      <c r="Z526" s="4"/>
      <c r="AA526" s="4"/>
      <c r="AB526" s="4"/>
      <c r="AC526" s="5"/>
      <c r="AD526" s="5"/>
      <c r="AE526" s="5"/>
    </row>
    <row r="527">
      <c r="A527" s="4"/>
      <c r="B527" s="4"/>
      <c r="C527" s="4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5"/>
      <c r="R527" s="4"/>
      <c r="S527" s="4"/>
      <c r="T527" s="4"/>
      <c r="U527" s="5"/>
      <c r="V527" s="5"/>
      <c r="W527" s="4"/>
      <c r="X527" s="4"/>
      <c r="Y527" s="4"/>
      <c r="Z527" s="4"/>
      <c r="AA527" s="4"/>
      <c r="AB527" s="4"/>
      <c r="AC527" s="5"/>
      <c r="AD527" s="5"/>
      <c r="AE527" s="5"/>
    </row>
    <row r="528">
      <c r="A528" s="4"/>
      <c r="B528" s="4"/>
      <c r="C528" s="4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5"/>
      <c r="R528" s="4"/>
      <c r="S528" s="4"/>
      <c r="T528" s="4"/>
      <c r="U528" s="5"/>
      <c r="V528" s="5"/>
      <c r="W528" s="4"/>
      <c r="X528" s="4"/>
      <c r="Y528" s="4"/>
      <c r="Z528" s="4"/>
      <c r="AA528" s="4"/>
      <c r="AB528" s="4"/>
      <c r="AC528" s="5"/>
      <c r="AD528" s="5"/>
      <c r="AE528" s="5"/>
    </row>
    <row r="529">
      <c r="A529" s="4"/>
      <c r="B529" s="4"/>
      <c r="C529" s="4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5"/>
      <c r="R529" s="4"/>
      <c r="S529" s="4"/>
      <c r="T529" s="4"/>
      <c r="U529" s="5"/>
      <c r="V529" s="5"/>
      <c r="W529" s="4"/>
      <c r="X529" s="4"/>
      <c r="Y529" s="4"/>
      <c r="Z529" s="4"/>
      <c r="AA529" s="4"/>
      <c r="AB529" s="4"/>
      <c r="AC529" s="5"/>
      <c r="AD529" s="5"/>
      <c r="AE529" s="5"/>
    </row>
    <row r="530">
      <c r="A530" s="4"/>
      <c r="B530" s="4"/>
      <c r="C530" s="4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5"/>
      <c r="R530" s="4"/>
      <c r="S530" s="4"/>
      <c r="T530" s="4"/>
      <c r="U530" s="5"/>
      <c r="V530" s="5"/>
      <c r="W530" s="4"/>
      <c r="X530" s="4"/>
      <c r="Y530" s="4"/>
      <c r="Z530" s="4"/>
      <c r="AA530" s="4"/>
      <c r="AB530" s="4"/>
      <c r="AC530" s="5"/>
      <c r="AD530" s="5"/>
      <c r="AE530" s="5"/>
    </row>
    <row r="531">
      <c r="A531" s="4"/>
      <c r="B531" s="4"/>
      <c r="C531" s="4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5"/>
      <c r="R531" s="4"/>
      <c r="S531" s="4"/>
      <c r="T531" s="4"/>
      <c r="U531" s="5"/>
      <c r="V531" s="5"/>
      <c r="W531" s="4"/>
      <c r="X531" s="4"/>
      <c r="Y531" s="4"/>
      <c r="Z531" s="4"/>
      <c r="AA531" s="4"/>
      <c r="AB531" s="4"/>
      <c r="AC531" s="5"/>
      <c r="AD531" s="5"/>
      <c r="AE531" s="5"/>
    </row>
    <row r="532">
      <c r="A532" s="4"/>
      <c r="B532" s="4"/>
      <c r="C532" s="4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5"/>
      <c r="R532" s="4"/>
      <c r="S532" s="4"/>
      <c r="T532" s="4"/>
      <c r="U532" s="5"/>
      <c r="V532" s="5"/>
      <c r="W532" s="4"/>
      <c r="X532" s="4"/>
      <c r="Y532" s="4"/>
      <c r="Z532" s="4"/>
      <c r="AA532" s="4"/>
      <c r="AB532" s="4"/>
      <c r="AC532" s="5"/>
      <c r="AD532" s="5"/>
      <c r="AE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4"/>
      <c r="B535" s="4"/>
      <c r="C535" s="4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5"/>
      <c r="R535" s="4"/>
      <c r="S535" s="4"/>
      <c r="T535" s="4"/>
      <c r="U535" s="5"/>
      <c r="V535" s="5"/>
      <c r="W535" s="4"/>
      <c r="X535" s="4"/>
      <c r="Y535" s="4"/>
      <c r="Z535" s="4"/>
      <c r="AA535" s="4"/>
      <c r="AB535" s="4"/>
      <c r="AC535" s="5"/>
      <c r="AD535" s="5"/>
      <c r="AE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4"/>
      <c r="B537" s="4"/>
      <c r="C537" s="4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5"/>
      <c r="R537" s="4"/>
      <c r="S537" s="4"/>
      <c r="T537" s="4"/>
      <c r="U537" s="5"/>
      <c r="V537" s="5"/>
      <c r="W537" s="4"/>
      <c r="X537" s="4"/>
      <c r="Y537" s="4"/>
      <c r="Z537" s="4"/>
      <c r="AA537" s="4"/>
      <c r="AB537" s="4"/>
      <c r="AC537" s="5"/>
      <c r="AD537" s="5"/>
      <c r="AE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4"/>
      <c r="B539" s="4"/>
      <c r="C539" s="4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5"/>
      <c r="R539" s="4"/>
      <c r="S539" s="4"/>
      <c r="T539" s="4"/>
      <c r="U539" s="5"/>
      <c r="V539" s="5"/>
      <c r="W539" s="4"/>
      <c r="X539" s="4"/>
      <c r="Y539" s="4"/>
      <c r="Z539" s="4"/>
      <c r="AA539" s="4"/>
      <c r="AB539" s="4"/>
      <c r="AC539" s="5"/>
      <c r="AD539" s="5"/>
      <c r="AE539" s="5"/>
    </row>
    <row r="540">
      <c r="A540" s="4"/>
      <c r="B540" s="4"/>
      <c r="C540" s="4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5"/>
      <c r="R540" s="4"/>
      <c r="S540" s="4"/>
      <c r="T540" s="4"/>
      <c r="U540" s="5"/>
      <c r="V540" s="5"/>
      <c r="W540" s="4"/>
      <c r="X540" s="4"/>
      <c r="Y540" s="4"/>
      <c r="Z540" s="4"/>
      <c r="AA540" s="4"/>
      <c r="AB540" s="4"/>
      <c r="AC540" s="5"/>
      <c r="AD540" s="5"/>
      <c r="AE540" s="5"/>
    </row>
    <row r="541">
      <c r="A541" s="4"/>
      <c r="B541" s="4"/>
      <c r="C541" s="4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5"/>
      <c r="R541" s="4"/>
      <c r="S541" s="4"/>
      <c r="T541" s="4"/>
      <c r="U541" s="5"/>
      <c r="V541" s="5"/>
      <c r="W541" s="4"/>
      <c r="X541" s="4"/>
      <c r="Y541" s="4"/>
      <c r="Z541" s="4"/>
      <c r="AA541" s="4"/>
      <c r="AB541" s="4"/>
      <c r="AC541" s="5"/>
      <c r="AD541" s="5"/>
      <c r="AE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4"/>
      <c r="B543" s="4"/>
      <c r="C543" s="4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5"/>
      <c r="R543" s="4"/>
      <c r="S543" s="4"/>
      <c r="T543" s="4"/>
      <c r="U543" s="5"/>
      <c r="V543" s="5"/>
      <c r="W543" s="4"/>
      <c r="X543" s="4"/>
      <c r="Y543" s="4"/>
      <c r="Z543" s="4"/>
      <c r="AA543" s="4"/>
      <c r="AB543" s="4"/>
      <c r="AC543" s="5"/>
      <c r="AD543" s="5"/>
      <c r="AE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4"/>
      <c r="B545" s="4"/>
      <c r="C545" s="4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5"/>
      <c r="R545" s="4"/>
      <c r="S545" s="4"/>
      <c r="T545" s="4"/>
      <c r="U545" s="5"/>
      <c r="V545" s="5"/>
      <c r="W545" s="4"/>
      <c r="X545" s="4"/>
      <c r="Y545" s="4"/>
      <c r="Z545" s="4"/>
      <c r="AA545" s="4"/>
      <c r="AB545" s="4"/>
      <c r="AC545" s="5"/>
      <c r="AD545" s="5"/>
      <c r="AE545" s="5"/>
    </row>
    <row r="546">
      <c r="A546" s="4"/>
      <c r="B546" s="4"/>
      <c r="C546" s="4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5"/>
      <c r="R546" s="4"/>
      <c r="S546" s="4"/>
      <c r="T546" s="4"/>
      <c r="U546" s="5"/>
      <c r="V546" s="5"/>
      <c r="W546" s="4"/>
      <c r="X546" s="4"/>
      <c r="Y546" s="4"/>
      <c r="Z546" s="4"/>
      <c r="AA546" s="4"/>
      <c r="AB546" s="4"/>
      <c r="AC546" s="5"/>
      <c r="AD546" s="5"/>
      <c r="AE546" s="5"/>
    </row>
    <row r="547">
      <c r="A547" s="4"/>
      <c r="B547" s="4"/>
      <c r="C547" s="4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5"/>
      <c r="R547" s="4"/>
      <c r="S547" s="4"/>
      <c r="T547" s="4"/>
      <c r="U547" s="5"/>
      <c r="V547" s="5"/>
      <c r="W547" s="4"/>
      <c r="X547" s="4"/>
      <c r="Y547" s="4"/>
      <c r="Z547" s="4"/>
      <c r="AA547" s="4"/>
      <c r="AB547" s="4"/>
      <c r="AC547" s="5"/>
      <c r="AD547" s="5"/>
      <c r="AE547" s="5"/>
    </row>
    <row r="548">
      <c r="A548" s="4"/>
      <c r="B548" s="4"/>
      <c r="C548" s="4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5"/>
      <c r="R548" s="4"/>
      <c r="S548" s="4"/>
      <c r="T548" s="4"/>
      <c r="U548" s="5"/>
      <c r="V548" s="5"/>
      <c r="W548" s="4"/>
      <c r="X548" s="4"/>
      <c r="Y548" s="4"/>
      <c r="Z548" s="4"/>
      <c r="AA548" s="4"/>
      <c r="AB548" s="4"/>
      <c r="AC548" s="5"/>
      <c r="AD548" s="5"/>
      <c r="AE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4"/>
      <c r="B553" s="4"/>
      <c r="C553" s="4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5"/>
      <c r="R553" s="4"/>
      <c r="S553" s="4"/>
      <c r="T553" s="4"/>
      <c r="U553" s="5"/>
      <c r="V553" s="5"/>
      <c r="W553" s="4"/>
      <c r="X553" s="4"/>
      <c r="Y553" s="4"/>
      <c r="Z553" s="4"/>
      <c r="AA553" s="4"/>
      <c r="AB553" s="4"/>
      <c r="AC553" s="5"/>
      <c r="AD553" s="5"/>
      <c r="AE553" s="5"/>
    </row>
    <row r="554">
      <c r="A554" s="4"/>
      <c r="B554" s="4"/>
      <c r="C554" s="4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5"/>
      <c r="R554" s="4"/>
      <c r="S554" s="4"/>
      <c r="T554" s="4"/>
      <c r="U554" s="5"/>
      <c r="V554" s="5"/>
      <c r="W554" s="4"/>
      <c r="X554" s="4"/>
      <c r="Y554" s="4"/>
      <c r="Z554" s="4"/>
      <c r="AA554" s="4"/>
      <c r="AB554" s="4"/>
      <c r="AC554" s="5"/>
      <c r="AD554" s="5"/>
      <c r="AE554" s="5"/>
    </row>
    <row r="555">
      <c r="A555" s="4"/>
      <c r="B555" s="4"/>
      <c r="C555" s="4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5"/>
      <c r="R555" s="4"/>
      <c r="S555" s="4"/>
      <c r="T555" s="4"/>
      <c r="U555" s="5"/>
      <c r="V555" s="5"/>
      <c r="W555" s="4"/>
      <c r="X555" s="4"/>
      <c r="Y555" s="4"/>
      <c r="Z555" s="4"/>
      <c r="AA555" s="4"/>
      <c r="AB555" s="4"/>
      <c r="AC555" s="5"/>
      <c r="AD555" s="5"/>
      <c r="AE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4"/>
      <c r="B562" s="4"/>
      <c r="C562" s="4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5"/>
      <c r="R562" s="4"/>
      <c r="S562" s="4"/>
      <c r="T562" s="4"/>
      <c r="U562" s="5"/>
      <c r="V562" s="5"/>
      <c r="W562" s="4"/>
      <c r="X562" s="4"/>
      <c r="Y562" s="4"/>
      <c r="Z562" s="4"/>
      <c r="AA562" s="4"/>
      <c r="AB562" s="4"/>
      <c r="AC562" s="5"/>
      <c r="AD562" s="5"/>
      <c r="AE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4"/>
      <c r="B567" s="4"/>
      <c r="C567" s="4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5"/>
      <c r="R567" s="4"/>
      <c r="S567" s="4"/>
      <c r="T567" s="4"/>
      <c r="U567" s="5"/>
      <c r="V567" s="5"/>
      <c r="W567" s="4"/>
      <c r="X567" s="4"/>
      <c r="Y567" s="4"/>
      <c r="Z567" s="4"/>
      <c r="AA567" s="4"/>
      <c r="AB567" s="4"/>
      <c r="AC567" s="5"/>
      <c r="AD567" s="5"/>
      <c r="AE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4"/>
      <c r="B569" s="4"/>
      <c r="C569" s="4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5"/>
      <c r="R569" s="4"/>
      <c r="S569" s="4"/>
      <c r="T569" s="4"/>
      <c r="U569" s="5"/>
      <c r="V569" s="5"/>
      <c r="W569" s="4"/>
      <c r="X569" s="4"/>
      <c r="Y569" s="4"/>
      <c r="Z569" s="4"/>
      <c r="AA569" s="4"/>
      <c r="AB569" s="4"/>
      <c r="AC569" s="5"/>
      <c r="AD569" s="5"/>
      <c r="AE569" s="5"/>
    </row>
    <row r="570">
      <c r="A570" s="4"/>
      <c r="B570" s="4"/>
      <c r="C570" s="4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5"/>
      <c r="R570" s="4"/>
      <c r="S570" s="4"/>
      <c r="T570" s="4"/>
      <c r="U570" s="5"/>
      <c r="V570" s="5"/>
      <c r="W570" s="4"/>
      <c r="X570" s="4"/>
      <c r="Y570" s="4"/>
      <c r="Z570" s="4"/>
      <c r="AA570" s="4"/>
      <c r="AB570" s="4"/>
      <c r="AC570" s="5"/>
      <c r="AD570" s="5"/>
      <c r="AE570" s="5"/>
    </row>
    <row r="571">
      <c r="A571" s="4"/>
      <c r="B571" s="4"/>
      <c r="C571" s="4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5"/>
      <c r="R571" s="4"/>
      <c r="S571" s="4"/>
      <c r="T571" s="4"/>
      <c r="U571" s="5"/>
      <c r="V571" s="5"/>
      <c r="W571" s="4"/>
      <c r="X571" s="4"/>
      <c r="Y571" s="4"/>
      <c r="Z571" s="4"/>
      <c r="AA571" s="4"/>
      <c r="AB571" s="4"/>
      <c r="AC571" s="5"/>
      <c r="AD571" s="5"/>
      <c r="AE571" s="5"/>
    </row>
    <row r="572">
      <c r="A572" s="4"/>
      <c r="B572" s="4"/>
      <c r="C572" s="4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5"/>
      <c r="R572" s="4"/>
      <c r="S572" s="4"/>
      <c r="T572" s="4"/>
      <c r="U572" s="5"/>
      <c r="V572" s="5"/>
      <c r="W572" s="4"/>
      <c r="X572" s="4"/>
      <c r="Y572" s="4"/>
      <c r="Z572" s="4"/>
      <c r="AA572" s="4"/>
      <c r="AB572" s="4"/>
      <c r="AC572" s="5"/>
      <c r="AD572" s="5"/>
      <c r="AE572" s="5"/>
    </row>
    <row r="573">
      <c r="A573" s="4"/>
      <c r="B573" s="4"/>
      <c r="C573" s="4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5"/>
      <c r="R573" s="4"/>
      <c r="S573" s="4"/>
      <c r="T573" s="4"/>
      <c r="U573" s="5"/>
      <c r="V573" s="5"/>
      <c r="W573" s="4"/>
      <c r="X573" s="4"/>
      <c r="Y573" s="4"/>
      <c r="Z573" s="4"/>
      <c r="AA573" s="4"/>
      <c r="AB573" s="4"/>
      <c r="AC573" s="5"/>
      <c r="AD573" s="5"/>
      <c r="AE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4"/>
      <c r="B580" s="4"/>
      <c r="C580" s="4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5"/>
      <c r="R580" s="4"/>
      <c r="S580" s="4"/>
      <c r="T580" s="4"/>
      <c r="U580" s="5"/>
      <c r="V580" s="5"/>
      <c r="W580" s="4"/>
      <c r="X580" s="4"/>
      <c r="Y580" s="4"/>
      <c r="Z580" s="4"/>
      <c r="AA580" s="4"/>
      <c r="AB580" s="4"/>
      <c r="AC580" s="5"/>
      <c r="AD580" s="5"/>
      <c r="AE580" s="5"/>
    </row>
    <row r="581">
      <c r="A581" s="4"/>
      <c r="B581" s="4"/>
      <c r="C581" s="4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5"/>
      <c r="R581" s="4"/>
      <c r="S581" s="4"/>
      <c r="T581" s="4"/>
      <c r="U581" s="5"/>
      <c r="V581" s="5"/>
      <c r="W581" s="4"/>
      <c r="X581" s="4"/>
      <c r="Y581" s="4"/>
      <c r="Z581" s="4"/>
      <c r="AA581" s="4"/>
      <c r="AB581" s="4"/>
      <c r="AC581" s="5"/>
      <c r="AD581" s="5"/>
      <c r="AE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4"/>
      <c r="B583" s="4"/>
      <c r="C583" s="4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5"/>
      <c r="R583" s="4"/>
      <c r="S583" s="4"/>
      <c r="T583" s="4"/>
      <c r="U583" s="5"/>
      <c r="V583" s="5"/>
      <c r="W583" s="4"/>
      <c r="X583" s="4"/>
      <c r="Y583" s="4"/>
      <c r="Z583" s="4"/>
      <c r="AA583" s="4"/>
      <c r="AB583" s="4"/>
      <c r="AC583" s="5"/>
      <c r="AD583" s="5"/>
      <c r="AE583" s="5"/>
    </row>
    <row r="584">
      <c r="A584" s="4"/>
      <c r="B584" s="4"/>
      <c r="C584" s="4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5"/>
      <c r="R584" s="4"/>
      <c r="S584" s="4"/>
      <c r="T584" s="4"/>
      <c r="U584" s="5"/>
      <c r="V584" s="5"/>
      <c r="W584" s="4"/>
      <c r="X584" s="4"/>
      <c r="Y584" s="4"/>
      <c r="Z584" s="4"/>
      <c r="AA584" s="4"/>
      <c r="AB584" s="4"/>
      <c r="AC584" s="5"/>
      <c r="AD584" s="5"/>
      <c r="AE584" s="5"/>
    </row>
    <row r="585">
      <c r="A585" s="4"/>
      <c r="B585" s="4"/>
      <c r="C585" s="4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5"/>
      <c r="R585" s="4"/>
      <c r="S585" s="4"/>
      <c r="T585" s="4"/>
      <c r="U585" s="5"/>
      <c r="V585" s="5"/>
      <c r="W585" s="4"/>
      <c r="X585" s="4"/>
      <c r="Y585" s="4"/>
      <c r="Z585" s="4"/>
      <c r="AA585" s="4"/>
      <c r="AB585" s="4"/>
      <c r="AC585" s="5"/>
      <c r="AD585" s="5"/>
      <c r="AE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4"/>
      <c r="B587" s="4"/>
      <c r="C587" s="4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5"/>
      <c r="R587" s="4"/>
      <c r="S587" s="4"/>
      <c r="T587" s="4"/>
      <c r="U587" s="5"/>
      <c r="V587" s="5"/>
      <c r="W587" s="4"/>
      <c r="X587" s="4"/>
      <c r="Y587" s="4"/>
      <c r="Z587" s="4"/>
      <c r="AA587" s="4"/>
      <c r="AB587" s="4"/>
      <c r="AC587" s="5"/>
      <c r="AD587" s="5"/>
      <c r="AE587" s="5"/>
    </row>
    <row r="588">
      <c r="A588" s="4"/>
      <c r="B588" s="4"/>
      <c r="C588" s="4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5"/>
      <c r="R588" s="4"/>
      <c r="S588" s="4"/>
      <c r="T588" s="4"/>
      <c r="U588" s="5"/>
      <c r="V588" s="5"/>
      <c r="W588" s="4"/>
      <c r="X588" s="4"/>
      <c r="Y588" s="4"/>
      <c r="Z588" s="4"/>
      <c r="AA588" s="4"/>
      <c r="AB588" s="4"/>
      <c r="AC588" s="5"/>
      <c r="AD588" s="5"/>
      <c r="AE588" s="5"/>
    </row>
    <row r="589">
      <c r="A589" s="4"/>
      <c r="B589" s="4"/>
      <c r="C589" s="4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5"/>
      <c r="R589" s="4"/>
      <c r="S589" s="4"/>
      <c r="T589" s="4"/>
      <c r="U589" s="5"/>
      <c r="V589" s="5"/>
      <c r="W589" s="4"/>
      <c r="X589" s="4"/>
      <c r="Y589" s="4"/>
      <c r="Z589" s="4"/>
      <c r="AA589" s="4"/>
      <c r="AB589" s="4"/>
      <c r="AC589" s="5"/>
      <c r="AD589" s="5"/>
      <c r="AE589" s="5"/>
    </row>
    <row r="590">
      <c r="A590" s="4"/>
      <c r="B590" s="4"/>
      <c r="C590" s="4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5"/>
      <c r="R590" s="4"/>
      <c r="S590" s="4"/>
      <c r="T590" s="4"/>
      <c r="U590" s="5"/>
      <c r="V590" s="5"/>
      <c r="W590" s="4"/>
      <c r="X590" s="4"/>
      <c r="Y590" s="4"/>
      <c r="Z590" s="4"/>
      <c r="AA590" s="4"/>
      <c r="AB590" s="4"/>
      <c r="AC590" s="5"/>
      <c r="AD590" s="5"/>
      <c r="AE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4"/>
      <c r="B594" s="4"/>
      <c r="C594" s="4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5"/>
      <c r="R594" s="4"/>
      <c r="S594" s="4"/>
      <c r="T594" s="4"/>
      <c r="U594" s="5"/>
      <c r="V594" s="5"/>
      <c r="W594" s="4"/>
      <c r="X594" s="4"/>
      <c r="Y594" s="4"/>
      <c r="Z594" s="4"/>
      <c r="AA594" s="4"/>
      <c r="AB594" s="4"/>
      <c r="AC594" s="5"/>
      <c r="AD594" s="5"/>
      <c r="AE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4"/>
      <c r="B596" s="4"/>
      <c r="C596" s="4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5"/>
      <c r="R596" s="4"/>
      <c r="S596" s="4"/>
      <c r="T596" s="4"/>
      <c r="U596" s="5"/>
      <c r="V596" s="5"/>
      <c r="W596" s="4"/>
      <c r="X596" s="4"/>
      <c r="Y596" s="4"/>
      <c r="Z596" s="4"/>
      <c r="AA596" s="4"/>
      <c r="AB596" s="4"/>
      <c r="AC596" s="5"/>
      <c r="AD596" s="5"/>
      <c r="AE596" s="5"/>
    </row>
    <row r="597">
      <c r="A597" s="4"/>
      <c r="B597" s="4"/>
      <c r="C597" s="4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5"/>
      <c r="R597" s="4"/>
      <c r="S597" s="4"/>
      <c r="T597" s="4"/>
      <c r="U597" s="5"/>
      <c r="V597" s="5"/>
      <c r="W597" s="4"/>
      <c r="X597" s="4"/>
      <c r="Y597" s="4"/>
      <c r="Z597" s="4"/>
      <c r="AA597" s="4"/>
      <c r="AB597" s="4"/>
      <c r="AC597" s="5"/>
      <c r="AD597" s="5"/>
      <c r="AE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4"/>
      <c r="B600" s="4"/>
      <c r="C600" s="4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5"/>
      <c r="R600" s="4"/>
      <c r="S600" s="4"/>
      <c r="T600" s="4"/>
      <c r="U600" s="5"/>
      <c r="V600" s="5"/>
      <c r="W600" s="4"/>
      <c r="X600" s="4"/>
      <c r="Y600" s="4"/>
      <c r="Z600" s="4"/>
      <c r="AA600" s="4"/>
      <c r="AB600" s="4"/>
      <c r="AC600" s="5"/>
      <c r="AD600" s="5"/>
      <c r="AE600" s="5"/>
    </row>
    <row r="601">
      <c r="A601" s="4"/>
      <c r="B601" s="4"/>
      <c r="C601" s="4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5"/>
      <c r="R601" s="4"/>
      <c r="S601" s="4"/>
      <c r="T601" s="4"/>
      <c r="U601" s="5"/>
      <c r="V601" s="5"/>
      <c r="W601" s="4"/>
      <c r="X601" s="4"/>
      <c r="Y601" s="4"/>
      <c r="Z601" s="4"/>
      <c r="AA601" s="4"/>
      <c r="AB601" s="4"/>
      <c r="AC601" s="5"/>
      <c r="AD601" s="5"/>
      <c r="AE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4"/>
      <c r="B603" s="4"/>
      <c r="C603" s="4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5"/>
      <c r="R603" s="4"/>
      <c r="S603" s="4"/>
      <c r="T603" s="4"/>
      <c r="U603" s="5"/>
      <c r="V603" s="5"/>
      <c r="W603" s="4"/>
      <c r="X603" s="4"/>
      <c r="Y603" s="4"/>
      <c r="Z603" s="4"/>
      <c r="AA603" s="4"/>
      <c r="AB603" s="4"/>
      <c r="AC603" s="5"/>
      <c r="AD603" s="5"/>
      <c r="AE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4"/>
      <c r="B605" s="4"/>
      <c r="C605" s="4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5"/>
      <c r="R605" s="4"/>
      <c r="S605" s="4"/>
      <c r="T605" s="4"/>
      <c r="U605" s="5"/>
      <c r="V605" s="5"/>
      <c r="W605" s="4"/>
      <c r="X605" s="4"/>
      <c r="Y605" s="4"/>
      <c r="Z605" s="4"/>
      <c r="AA605" s="4"/>
      <c r="AB605" s="4"/>
      <c r="AC605" s="5"/>
      <c r="AD605" s="5"/>
      <c r="AE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4"/>
      <c r="B607" s="4"/>
      <c r="C607" s="4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5"/>
      <c r="R607" s="4"/>
      <c r="S607" s="4"/>
      <c r="T607" s="4"/>
      <c r="U607" s="5"/>
      <c r="V607" s="5"/>
      <c r="W607" s="4"/>
      <c r="X607" s="4"/>
      <c r="Y607" s="4"/>
      <c r="Z607" s="4"/>
      <c r="AA607" s="4"/>
      <c r="AB607" s="4"/>
      <c r="AC607" s="5"/>
      <c r="AD607" s="5"/>
      <c r="AE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4"/>
      <c r="B609" s="4"/>
      <c r="C609" s="4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5"/>
      <c r="R609" s="4"/>
      <c r="S609" s="4"/>
      <c r="T609" s="4"/>
      <c r="U609" s="5"/>
      <c r="V609" s="5"/>
      <c r="W609" s="4"/>
      <c r="X609" s="4"/>
      <c r="Y609" s="4"/>
      <c r="Z609" s="4"/>
      <c r="AA609" s="4"/>
      <c r="AB609" s="4"/>
      <c r="AC609" s="5"/>
      <c r="AD609" s="5"/>
      <c r="AE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4"/>
      <c r="B612" s="4"/>
      <c r="C612" s="4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5"/>
      <c r="R612" s="4"/>
      <c r="S612" s="4"/>
      <c r="T612" s="4"/>
      <c r="U612" s="5"/>
      <c r="V612" s="5"/>
      <c r="W612" s="4"/>
      <c r="X612" s="4"/>
      <c r="Y612" s="4"/>
      <c r="Z612" s="4"/>
      <c r="AA612" s="4"/>
      <c r="AB612" s="4"/>
      <c r="AC612" s="5"/>
      <c r="AD612" s="5"/>
      <c r="AE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4"/>
      <c r="B614" s="4"/>
      <c r="C614" s="4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5"/>
      <c r="R614" s="4"/>
      <c r="S614" s="4"/>
      <c r="T614" s="4"/>
      <c r="U614" s="5"/>
      <c r="V614" s="5"/>
      <c r="W614" s="4"/>
      <c r="X614" s="4"/>
      <c r="Y614" s="4"/>
      <c r="Z614" s="4"/>
      <c r="AA614" s="4"/>
      <c r="AB614" s="4"/>
      <c r="AC614" s="5"/>
      <c r="AD614" s="5"/>
      <c r="AE614" s="5"/>
    </row>
    <row r="615">
      <c r="A615" s="4"/>
      <c r="B615" s="4"/>
      <c r="C615" s="4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5"/>
      <c r="R615" s="4"/>
      <c r="S615" s="4"/>
      <c r="T615" s="4"/>
      <c r="U615" s="5"/>
      <c r="V615" s="5"/>
      <c r="W615" s="4"/>
      <c r="X615" s="4"/>
      <c r="Y615" s="4"/>
      <c r="Z615" s="4"/>
      <c r="AA615" s="4"/>
      <c r="AB615" s="4"/>
      <c r="AC615" s="5"/>
      <c r="AD615" s="5"/>
      <c r="AE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4"/>
      <c r="B618" s="4"/>
      <c r="C618" s="4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5"/>
      <c r="R618" s="4"/>
      <c r="S618" s="4"/>
      <c r="T618" s="4"/>
      <c r="U618" s="5"/>
      <c r="V618" s="5"/>
      <c r="W618" s="4"/>
      <c r="X618" s="4"/>
      <c r="Y618" s="4"/>
      <c r="Z618" s="4"/>
      <c r="AA618" s="4"/>
      <c r="AB618" s="4"/>
      <c r="AC618" s="5"/>
      <c r="AD618" s="5"/>
      <c r="AE618" s="5"/>
    </row>
    <row r="619">
      <c r="A619" s="4"/>
      <c r="B619" s="4"/>
      <c r="C619" s="4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5"/>
      <c r="R619" s="4"/>
      <c r="S619" s="4"/>
      <c r="T619" s="4"/>
      <c r="U619" s="5"/>
      <c r="V619" s="5"/>
      <c r="W619" s="4"/>
      <c r="X619" s="4"/>
      <c r="Y619" s="4"/>
      <c r="Z619" s="4"/>
      <c r="AA619" s="4"/>
      <c r="AB619" s="4"/>
      <c r="AC619" s="5"/>
      <c r="AD619" s="5"/>
      <c r="AE619" s="5"/>
    </row>
    <row r="620">
      <c r="A620" s="4"/>
      <c r="B620" s="4"/>
      <c r="C620" s="4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5"/>
      <c r="R620" s="4"/>
      <c r="S620" s="4"/>
      <c r="T620" s="4"/>
      <c r="U620" s="5"/>
      <c r="V620" s="5"/>
      <c r="W620" s="4"/>
      <c r="X620" s="4"/>
      <c r="Y620" s="4"/>
      <c r="Z620" s="4"/>
      <c r="AA620" s="4"/>
      <c r="AB620" s="4"/>
      <c r="AC620" s="5"/>
      <c r="AD620" s="5"/>
      <c r="AE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4"/>
      <c r="B622" s="4"/>
      <c r="C622" s="4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5"/>
      <c r="R622" s="4"/>
      <c r="S622" s="4"/>
      <c r="T622" s="4"/>
      <c r="U622" s="5"/>
      <c r="V622" s="5"/>
      <c r="W622" s="4"/>
      <c r="X622" s="4"/>
      <c r="Y622" s="4"/>
      <c r="Z622" s="4"/>
      <c r="AA622" s="4"/>
      <c r="AB622" s="4"/>
      <c r="AC622" s="5"/>
      <c r="AD622" s="5"/>
      <c r="AE622" s="5"/>
    </row>
    <row r="623">
      <c r="A623" s="4"/>
      <c r="B623" s="4"/>
      <c r="C623" s="4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5"/>
      <c r="R623" s="4"/>
      <c r="S623" s="4"/>
      <c r="T623" s="4"/>
      <c r="U623" s="5"/>
      <c r="V623" s="5"/>
      <c r="W623" s="4"/>
      <c r="X623" s="4"/>
      <c r="Y623" s="4"/>
      <c r="Z623" s="4"/>
      <c r="AA623" s="4"/>
      <c r="AB623" s="4"/>
      <c r="AC623" s="5"/>
      <c r="AD623" s="5"/>
      <c r="AE623" s="5"/>
    </row>
    <row r="624">
      <c r="A624" s="4"/>
      <c r="B624" s="4"/>
      <c r="C624" s="4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5"/>
      <c r="R624" s="4"/>
      <c r="S624" s="4"/>
      <c r="T624" s="4"/>
      <c r="U624" s="5"/>
      <c r="V624" s="5"/>
      <c r="W624" s="4"/>
      <c r="X624" s="4"/>
      <c r="Y624" s="4"/>
      <c r="Z624" s="4"/>
      <c r="AA624" s="4"/>
      <c r="AB624" s="4"/>
      <c r="AC624" s="5"/>
      <c r="AD624" s="5"/>
      <c r="AE624" s="5"/>
    </row>
    <row r="625">
      <c r="A625" s="4"/>
      <c r="B625" s="4"/>
      <c r="C625" s="4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5"/>
      <c r="R625" s="4"/>
      <c r="S625" s="4"/>
      <c r="T625" s="4"/>
      <c r="U625" s="5"/>
      <c r="V625" s="5"/>
      <c r="W625" s="4"/>
      <c r="X625" s="4"/>
      <c r="Y625" s="4"/>
      <c r="Z625" s="4"/>
      <c r="AA625" s="4"/>
      <c r="AB625" s="4"/>
      <c r="AC625" s="5"/>
      <c r="AD625" s="5"/>
      <c r="AE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4"/>
      <c r="B628" s="4"/>
      <c r="C628" s="4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5"/>
      <c r="R628" s="4"/>
      <c r="S628" s="4"/>
      <c r="T628" s="4"/>
      <c r="U628" s="5"/>
      <c r="V628" s="5"/>
      <c r="W628" s="4"/>
      <c r="X628" s="4"/>
      <c r="Y628" s="4"/>
      <c r="Z628" s="4"/>
      <c r="AA628" s="4"/>
      <c r="AB628" s="4"/>
      <c r="AC628" s="5"/>
      <c r="AD628" s="5"/>
      <c r="AE628" s="5"/>
    </row>
    <row r="629">
      <c r="A629" s="4"/>
      <c r="B629" s="4"/>
      <c r="C629" s="4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5"/>
      <c r="R629" s="4"/>
      <c r="S629" s="4"/>
      <c r="T629" s="4"/>
      <c r="U629" s="5"/>
      <c r="V629" s="5"/>
      <c r="W629" s="4"/>
      <c r="X629" s="4"/>
      <c r="Y629" s="4"/>
      <c r="Z629" s="4"/>
      <c r="AA629" s="4"/>
      <c r="AB629" s="4"/>
      <c r="AC629" s="5"/>
      <c r="AD629" s="5"/>
      <c r="AE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4"/>
      <c r="B632" s="4"/>
      <c r="C632" s="4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5"/>
      <c r="R632" s="4"/>
      <c r="S632" s="4"/>
      <c r="T632" s="4"/>
      <c r="U632" s="5"/>
      <c r="V632" s="5"/>
      <c r="W632" s="4"/>
      <c r="X632" s="4"/>
      <c r="Y632" s="4"/>
      <c r="Z632" s="4"/>
      <c r="AA632" s="4"/>
      <c r="AB632" s="4"/>
      <c r="AC632" s="5"/>
      <c r="AD632" s="5"/>
      <c r="AE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4"/>
      <c r="B634" s="4"/>
      <c r="C634" s="4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5"/>
      <c r="R634" s="4"/>
      <c r="S634" s="4"/>
      <c r="T634" s="4"/>
      <c r="U634" s="5"/>
      <c r="V634" s="5"/>
      <c r="W634" s="4"/>
      <c r="X634" s="4"/>
      <c r="Y634" s="4"/>
      <c r="Z634" s="4"/>
      <c r="AA634" s="4"/>
      <c r="AB634" s="4"/>
      <c r="AC634" s="5"/>
      <c r="AD634" s="5"/>
      <c r="AE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4"/>
      <c r="B636" s="4"/>
      <c r="C636" s="4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5"/>
      <c r="R636" s="4"/>
      <c r="S636" s="4"/>
      <c r="T636" s="4"/>
      <c r="U636" s="5"/>
      <c r="V636" s="5"/>
      <c r="W636" s="4"/>
      <c r="X636" s="4"/>
      <c r="Y636" s="4"/>
      <c r="Z636" s="4"/>
      <c r="AA636" s="4"/>
      <c r="AB636" s="4"/>
      <c r="AC636" s="5"/>
      <c r="AD636" s="5"/>
      <c r="AE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4"/>
      <c r="B640" s="4"/>
      <c r="C640" s="4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5"/>
      <c r="R640" s="4"/>
      <c r="S640" s="4"/>
      <c r="T640" s="4"/>
      <c r="U640" s="5"/>
      <c r="V640" s="5"/>
      <c r="W640" s="4"/>
      <c r="X640" s="4"/>
      <c r="Y640" s="4"/>
      <c r="Z640" s="4"/>
      <c r="AA640" s="4"/>
      <c r="AB640" s="4"/>
      <c r="AC640" s="5"/>
      <c r="AD640" s="5"/>
      <c r="AE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9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8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4"/>
      <c r="B645" s="4"/>
      <c r="C645" s="4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5"/>
      <c r="R645" s="4"/>
      <c r="S645" s="4"/>
      <c r="T645" s="4"/>
      <c r="U645" s="5"/>
      <c r="V645" s="5"/>
      <c r="W645" s="4"/>
      <c r="X645" s="4"/>
      <c r="Y645" s="4"/>
      <c r="Z645" s="4"/>
      <c r="AA645" s="4"/>
      <c r="AB645" s="4"/>
      <c r="AC645" s="5"/>
      <c r="AD645" s="5"/>
      <c r="AE645" s="5"/>
    </row>
    <row r="646">
      <c r="A646" s="4"/>
      <c r="B646" s="4"/>
      <c r="C646" s="4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5"/>
      <c r="R646" s="4"/>
      <c r="S646" s="4"/>
      <c r="T646" s="4"/>
      <c r="U646" s="5"/>
      <c r="V646" s="5"/>
      <c r="W646" s="4"/>
      <c r="X646" s="4"/>
      <c r="Y646" s="4"/>
      <c r="Z646" s="4"/>
      <c r="AA646" s="4"/>
      <c r="AB646" s="4"/>
      <c r="AC646" s="5"/>
      <c r="AD646" s="5"/>
      <c r="AE646" s="5"/>
    </row>
    <row r="647">
      <c r="A647" s="4"/>
      <c r="B647" s="4"/>
      <c r="C647" s="4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5"/>
      <c r="R647" s="4"/>
      <c r="S647" s="4"/>
      <c r="T647" s="4"/>
      <c r="U647" s="5"/>
      <c r="V647" s="5"/>
      <c r="W647" s="4"/>
      <c r="X647" s="4"/>
      <c r="Y647" s="4"/>
      <c r="Z647" s="4"/>
      <c r="AA647" s="4"/>
      <c r="AB647" s="4"/>
      <c r="AC647" s="5"/>
      <c r="AD647" s="5"/>
      <c r="AE647" s="5"/>
    </row>
    <row r="648">
      <c r="A648" s="4"/>
      <c r="B648" s="4"/>
      <c r="C648" s="4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5"/>
      <c r="R648" s="4"/>
      <c r="S648" s="4"/>
      <c r="T648" s="4"/>
      <c r="U648" s="5"/>
      <c r="V648" s="5"/>
      <c r="W648" s="4"/>
      <c r="X648" s="4"/>
      <c r="Y648" s="4"/>
      <c r="Z648" s="4"/>
      <c r="AA648" s="4"/>
      <c r="AB648" s="4"/>
      <c r="AC648" s="5"/>
      <c r="AD648" s="5"/>
      <c r="AE648" s="5"/>
    </row>
    <row r="649">
      <c r="A649" s="4"/>
      <c r="B649" s="4"/>
      <c r="C649" s="4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5"/>
      <c r="R649" s="4"/>
      <c r="S649" s="4"/>
      <c r="T649" s="4"/>
      <c r="U649" s="5"/>
      <c r="V649" s="5"/>
      <c r="W649" s="4"/>
      <c r="X649" s="4"/>
      <c r="Y649" s="4"/>
      <c r="Z649" s="4"/>
      <c r="AA649" s="4"/>
      <c r="AB649" s="4"/>
      <c r="AC649" s="5"/>
      <c r="AD649" s="5"/>
      <c r="AE649" s="5"/>
    </row>
    <row r="650">
      <c r="A650" s="4"/>
      <c r="B650" s="4"/>
      <c r="C650" s="4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5"/>
      <c r="R650" s="4"/>
      <c r="S650" s="4"/>
      <c r="T650" s="4"/>
      <c r="U650" s="5"/>
      <c r="V650" s="5"/>
      <c r="W650" s="4"/>
      <c r="X650" s="4"/>
      <c r="Y650" s="4"/>
      <c r="Z650" s="4"/>
      <c r="AA650" s="4"/>
      <c r="AB650" s="4"/>
      <c r="AC650" s="5"/>
      <c r="AD650" s="5"/>
      <c r="AE650" s="5"/>
    </row>
    <row r="651">
      <c r="A651" s="4"/>
      <c r="B651" s="4"/>
      <c r="C651" s="4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9"/>
      <c r="R651" s="4"/>
      <c r="S651" s="4"/>
      <c r="T651" s="4"/>
      <c r="U651" s="5"/>
      <c r="V651" s="5"/>
      <c r="W651" s="4"/>
      <c r="X651" s="4"/>
      <c r="Y651" s="4"/>
      <c r="Z651" s="4"/>
      <c r="AA651" s="4"/>
      <c r="AB651" s="4"/>
      <c r="AC651" s="5"/>
      <c r="AD651" s="5"/>
      <c r="AE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8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4"/>
      <c r="B654" s="4"/>
      <c r="C654" s="4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5"/>
      <c r="R654" s="4"/>
      <c r="S654" s="4"/>
      <c r="T654" s="4"/>
      <c r="U654" s="5"/>
      <c r="V654" s="5"/>
      <c r="W654" s="4"/>
      <c r="X654" s="4"/>
      <c r="Y654" s="4"/>
      <c r="Z654" s="4"/>
      <c r="AA654" s="4"/>
      <c r="AB654" s="4"/>
      <c r="AC654" s="5"/>
      <c r="AD654" s="5"/>
      <c r="AE654" s="5"/>
    </row>
    <row r="655">
      <c r="A655" s="4"/>
      <c r="B655" s="4"/>
      <c r="C655" s="4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5"/>
      <c r="R655" s="4"/>
      <c r="S655" s="4"/>
      <c r="T655" s="4"/>
      <c r="U655" s="5"/>
      <c r="V655" s="5"/>
      <c r="W655" s="4"/>
      <c r="X655" s="4"/>
      <c r="Y655" s="4"/>
      <c r="Z655" s="4"/>
      <c r="AA655" s="4"/>
      <c r="AB655" s="4"/>
      <c r="AC655" s="5"/>
      <c r="AD655" s="5"/>
      <c r="AE655" s="5"/>
    </row>
    <row r="656">
      <c r="A656" s="4"/>
      <c r="B656" s="4"/>
      <c r="C656" s="4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5"/>
      <c r="R656" s="4"/>
      <c r="S656" s="4"/>
      <c r="T656" s="4"/>
      <c r="U656" s="5"/>
      <c r="V656" s="5"/>
      <c r="W656" s="4"/>
      <c r="X656" s="4"/>
      <c r="Y656" s="4"/>
      <c r="Z656" s="4"/>
      <c r="AA656" s="4"/>
      <c r="AB656" s="4"/>
      <c r="AC656" s="5"/>
      <c r="AD656" s="5"/>
      <c r="AE656" s="5"/>
    </row>
    <row r="657">
      <c r="A657" s="4"/>
      <c r="B657" s="4"/>
      <c r="C657" s="4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5"/>
      <c r="R657" s="4"/>
      <c r="S657" s="4"/>
      <c r="T657" s="4"/>
      <c r="U657" s="5"/>
      <c r="V657" s="5"/>
      <c r="W657" s="4"/>
      <c r="X657" s="4"/>
      <c r="Y657" s="4"/>
      <c r="Z657" s="4"/>
      <c r="AA657" s="4"/>
      <c r="AB657" s="4"/>
      <c r="AC657" s="5"/>
      <c r="AD657" s="5"/>
      <c r="AE657" s="5"/>
    </row>
    <row r="658">
      <c r="A658" s="4"/>
      <c r="B658" s="4"/>
      <c r="C658" s="4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5"/>
      <c r="R658" s="4"/>
      <c r="S658" s="4"/>
      <c r="T658" s="4"/>
      <c r="U658" s="5"/>
      <c r="V658" s="5"/>
      <c r="W658" s="4"/>
      <c r="X658" s="4"/>
      <c r="Y658" s="4"/>
      <c r="Z658" s="4"/>
      <c r="AA658" s="4"/>
      <c r="AB658" s="4"/>
      <c r="AC658" s="5"/>
      <c r="AD658" s="5"/>
      <c r="AE658" s="5"/>
    </row>
    <row r="659">
      <c r="A659" s="4"/>
      <c r="B659" s="4"/>
      <c r="C659" s="4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5"/>
      <c r="R659" s="4"/>
      <c r="S659" s="4"/>
      <c r="T659" s="4"/>
      <c r="U659" s="5"/>
      <c r="V659" s="5"/>
      <c r="W659" s="4"/>
      <c r="X659" s="4"/>
      <c r="Y659" s="4"/>
      <c r="Z659" s="4"/>
      <c r="AA659" s="4"/>
      <c r="AB659" s="4"/>
      <c r="AC659" s="5"/>
      <c r="AD659" s="5"/>
      <c r="AE659" s="5"/>
    </row>
    <row r="660">
      <c r="A660" s="4"/>
      <c r="B660" s="4"/>
      <c r="C660" s="4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5"/>
      <c r="R660" s="4"/>
      <c r="S660" s="4"/>
      <c r="T660" s="4"/>
      <c r="U660" s="5"/>
      <c r="V660" s="5"/>
      <c r="W660" s="4"/>
      <c r="X660" s="4"/>
      <c r="Y660" s="4"/>
      <c r="Z660" s="4"/>
      <c r="AA660" s="4"/>
      <c r="AB660" s="4"/>
      <c r="AC660" s="5"/>
      <c r="AD660" s="5"/>
      <c r="AE660" s="5"/>
    </row>
    <row r="661">
      <c r="A661" s="4"/>
      <c r="B661" s="4"/>
      <c r="C661" s="4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5"/>
      <c r="R661" s="4"/>
      <c r="S661" s="4"/>
      <c r="T661" s="4"/>
      <c r="U661" s="5"/>
      <c r="V661" s="5"/>
      <c r="W661" s="4"/>
      <c r="X661" s="4"/>
      <c r="Y661" s="4"/>
      <c r="Z661" s="4"/>
      <c r="AA661" s="4"/>
      <c r="AB661" s="4"/>
      <c r="AC661" s="5"/>
      <c r="AD661" s="5"/>
      <c r="AE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4"/>
      <c r="B663" s="4"/>
      <c r="C663" s="4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5"/>
      <c r="R663" s="4"/>
      <c r="S663" s="4"/>
      <c r="T663" s="4"/>
      <c r="U663" s="5"/>
      <c r="V663" s="5"/>
      <c r="W663" s="4"/>
      <c r="X663" s="4"/>
      <c r="Y663" s="4"/>
      <c r="Z663" s="4"/>
      <c r="AA663" s="4"/>
      <c r="AB663" s="4"/>
      <c r="AC663" s="5"/>
      <c r="AD663" s="5"/>
      <c r="AE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4"/>
      <c r="B667" s="4"/>
      <c r="C667" s="4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5"/>
      <c r="R667" s="4"/>
      <c r="S667" s="4"/>
      <c r="T667" s="4"/>
      <c r="U667" s="5"/>
      <c r="V667" s="5"/>
      <c r="W667" s="4"/>
      <c r="X667" s="4"/>
      <c r="Y667" s="4"/>
      <c r="Z667" s="4"/>
      <c r="AA667" s="4"/>
      <c r="AB667" s="4"/>
      <c r="AC667" s="5"/>
      <c r="AD667" s="5"/>
      <c r="AE667" s="5"/>
    </row>
    <row r="668">
      <c r="A668" s="4"/>
      <c r="B668" s="4"/>
      <c r="C668" s="4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5"/>
      <c r="R668" s="4"/>
      <c r="S668" s="4"/>
      <c r="T668" s="4"/>
      <c r="U668" s="5"/>
      <c r="V668" s="5"/>
      <c r="W668" s="4"/>
      <c r="X668" s="4"/>
      <c r="Y668" s="4"/>
      <c r="Z668" s="4"/>
      <c r="AA668" s="4"/>
      <c r="AB668" s="4"/>
      <c r="AC668" s="5"/>
      <c r="AD668" s="5"/>
      <c r="AE668" s="5"/>
    </row>
    <row r="669">
      <c r="A669" s="4"/>
      <c r="B669" s="4"/>
      <c r="C669" s="4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5"/>
      <c r="R669" s="4"/>
      <c r="S669" s="4"/>
      <c r="T669" s="4"/>
      <c r="U669" s="5"/>
      <c r="V669" s="5"/>
      <c r="W669" s="4"/>
      <c r="X669" s="4"/>
      <c r="Y669" s="4"/>
      <c r="Z669" s="4"/>
      <c r="AA669" s="4"/>
      <c r="AB669" s="4"/>
      <c r="AC669" s="5"/>
      <c r="AD669" s="5"/>
      <c r="AE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4"/>
      <c r="B673" s="4"/>
      <c r="C673" s="4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5"/>
      <c r="R673" s="4"/>
      <c r="S673" s="4"/>
      <c r="T673" s="4"/>
      <c r="U673" s="5"/>
      <c r="V673" s="5"/>
      <c r="W673" s="4"/>
      <c r="X673" s="4"/>
      <c r="Y673" s="4"/>
      <c r="Z673" s="4"/>
      <c r="AA673" s="4"/>
      <c r="AB673" s="4"/>
      <c r="AC673" s="5"/>
      <c r="AD673" s="5"/>
      <c r="AE673" s="5"/>
    </row>
    <row r="674">
      <c r="A674" s="4"/>
      <c r="B674" s="4"/>
      <c r="C674" s="4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5"/>
      <c r="R674" s="4"/>
      <c r="S674" s="4"/>
      <c r="T674" s="4"/>
      <c r="U674" s="5"/>
      <c r="V674" s="5"/>
      <c r="W674" s="4"/>
      <c r="X674" s="4"/>
      <c r="Y674" s="4"/>
      <c r="Z674" s="4"/>
      <c r="AA674" s="4"/>
      <c r="AB674" s="4"/>
      <c r="AC674" s="5"/>
      <c r="AD674" s="5"/>
      <c r="AE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4"/>
      <c r="B686" s="4"/>
      <c r="C686" s="4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5"/>
      <c r="R686" s="4"/>
      <c r="S686" s="4"/>
      <c r="T686" s="4"/>
      <c r="U686" s="5"/>
      <c r="V686" s="5"/>
      <c r="W686" s="4"/>
      <c r="X686" s="4"/>
      <c r="Y686" s="4"/>
      <c r="Z686" s="4"/>
      <c r="AA686" s="4"/>
      <c r="AB686" s="4"/>
      <c r="AC686" s="5"/>
      <c r="AD686" s="5"/>
      <c r="AE686" s="5"/>
    </row>
    <row r="687">
      <c r="A687" s="4"/>
      <c r="B687" s="4"/>
      <c r="C687" s="4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5"/>
      <c r="R687" s="4"/>
      <c r="S687" s="4"/>
      <c r="T687" s="4"/>
      <c r="U687" s="5"/>
      <c r="V687" s="5"/>
      <c r="W687" s="4"/>
      <c r="X687" s="4"/>
      <c r="Y687" s="4"/>
      <c r="Z687" s="4"/>
      <c r="AA687" s="4"/>
      <c r="AB687" s="4"/>
      <c r="AC687" s="5"/>
      <c r="AD687" s="5"/>
      <c r="AE687" s="5"/>
    </row>
    <row r="688">
      <c r="A688" s="4"/>
      <c r="B688" s="4"/>
      <c r="C688" s="4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5"/>
      <c r="R688" s="4"/>
      <c r="S688" s="4"/>
      <c r="T688" s="4"/>
      <c r="U688" s="5"/>
      <c r="V688" s="5"/>
      <c r="W688" s="4"/>
      <c r="X688" s="4"/>
      <c r="Y688" s="4"/>
      <c r="Z688" s="4"/>
      <c r="AA688" s="4"/>
      <c r="AB688" s="4"/>
      <c r="AC688" s="5"/>
      <c r="AD688" s="5"/>
      <c r="AE688" s="5"/>
    </row>
    <row r="689">
      <c r="A689" s="4"/>
      <c r="B689" s="4"/>
      <c r="C689" s="4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5"/>
      <c r="R689" s="4"/>
      <c r="S689" s="4"/>
      <c r="T689" s="4"/>
      <c r="U689" s="5"/>
      <c r="V689" s="5"/>
      <c r="W689" s="4"/>
      <c r="X689" s="4"/>
      <c r="Y689" s="4"/>
      <c r="Z689" s="4"/>
      <c r="AA689" s="4"/>
      <c r="AB689" s="4"/>
      <c r="AC689" s="5"/>
      <c r="AD689" s="5"/>
      <c r="AE689" s="5"/>
    </row>
    <row r="690">
      <c r="A690" s="4"/>
      <c r="B690" s="4"/>
      <c r="C690" s="4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5"/>
      <c r="R690" s="4"/>
      <c r="S690" s="4"/>
      <c r="T690" s="4"/>
      <c r="U690" s="5"/>
      <c r="V690" s="5"/>
      <c r="W690" s="4"/>
      <c r="X690" s="4"/>
      <c r="Y690" s="4"/>
      <c r="Z690" s="4"/>
      <c r="AA690" s="4"/>
      <c r="AB690" s="4"/>
      <c r="AC690" s="5"/>
      <c r="AD690" s="5"/>
      <c r="AE690" s="5"/>
    </row>
    <row r="691">
      <c r="A691" s="4"/>
      <c r="B691" s="4"/>
      <c r="C691" s="4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5"/>
      <c r="R691" s="4"/>
      <c r="S691" s="4"/>
      <c r="T691" s="4"/>
      <c r="U691" s="5"/>
      <c r="V691" s="5"/>
      <c r="W691" s="4"/>
      <c r="X691" s="4"/>
      <c r="Y691" s="4"/>
      <c r="Z691" s="4"/>
      <c r="AA691" s="4"/>
      <c r="AB691" s="4"/>
      <c r="AC691" s="5"/>
      <c r="AD691" s="5"/>
      <c r="AE691" s="5"/>
    </row>
    <row r="692">
      <c r="A692" s="4"/>
      <c r="B692" s="4"/>
      <c r="C692" s="4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5"/>
      <c r="R692" s="4"/>
      <c r="S692" s="4"/>
      <c r="T692" s="4"/>
      <c r="U692" s="5"/>
      <c r="V692" s="5"/>
      <c r="W692" s="4"/>
      <c r="X692" s="4"/>
      <c r="Y692" s="4"/>
      <c r="Z692" s="4"/>
      <c r="AA692" s="4"/>
      <c r="AB692" s="4"/>
      <c r="AC692" s="5"/>
      <c r="AD692" s="5"/>
      <c r="AE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4"/>
      <c r="B694" s="4"/>
      <c r="C694" s="4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5"/>
      <c r="R694" s="4"/>
      <c r="S694" s="4"/>
      <c r="T694" s="4"/>
      <c r="U694" s="5"/>
      <c r="V694" s="5"/>
      <c r="W694" s="4"/>
      <c r="X694" s="4"/>
      <c r="Y694" s="4"/>
      <c r="Z694" s="4"/>
      <c r="AA694" s="4"/>
      <c r="AB694" s="4"/>
      <c r="AC694" s="5"/>
      <c r="AD694" s="5"/>
      <c r="AE694" s="5"/>
    </row>
    <row r="695">
      <c r="A695" s="4"/>
      <c r="B695" s="4"/>
      <c r="C695" s="4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5"/>
      <c r="R695" s="4"/>
      <c r="S695" s="4"/>
      <c r="T695" s="4"/>
      <c r="U695" s="5"/>
      <c r="V695" s="5"/>
      <c r="W695" s="4"/>
      <c r="X695" s="4"/>
      <c r="Y695" s="4"/>
      <c r="Z695" s="4"/>
      <c r="AA695" s="4"/>
      <c r="AB695" s="4"/>
      <c r="AC695" s="5"/>
      <c r="AD695" s="5"/>
      <c r="AE695" s="5"/>
    </row>
    <row r="696">
      <c r="A696" s="4"/>
      <c r="B696" s="4"/>
      <c r="C696" s="4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5"/>
      <c r="R696" s="4"/>
      <c r="S696" s="4"/>
      <c r="T696" s="4"/>
      <c r="U696" s="5"/>
      <c r="V696" s="5"/>
      <c r="W696" s="4"/>
      <c r="X696" s="4"/>
      <c r="Y696" s="4"/>
      <c r="Z696" s="4"/>
      <c r="AA696" s="4"/>
      <c r="AB696" s="4"/>
      <c r="AC696" s="5"/>
      <c r="AD696" s="5"/>
      <c r="AE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4"/>
      <c r="B699" s="4"/>
      <c r="C699" s="4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5"/>
      <c r="R699" s="4"/>
      <c r="S699" s="4"/>
      <c r="T699" s="4"/>
      <c r="U699" s="5"/>
      <c r="V699" s="5"/>
      <c r="W699" s="4"/>
      <c r="X699" s="4"/>
      <c r="Y699" s="4"/>
      <c r="Z699" s="4"/>
      <c r="AA699" s="4"/>
      <c r="AB699" s="4"/>
      <c r="AC699" s="5"/>
      <c r="AD699" s="5"/>
      <c r="AE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4"/>
      <c r="B701" s="4"/>
      <c r="C701" s="4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5"/>
      <c r="R701" s="4"/>
      <c r="S701" s="4"/>
      <c r="T701" s="4"/>
      <c r="U701" s="5"/>
      <c r="V701" s="5"/>
      <c r="W701" s="4"/>
      <c r="X701" s="4"/>
      <c r="Y701" s="4"/>
      <c r="Z701" s="4"/>
      <c r="AA701" s="4"/>
      <c r="AB701" s="4"/>
      <c r="AC701" s="5"/>
      <c r="AD701" s="5"/>
      <c r="AE701" s="5"/>
    </row>
    <row r="702">
      <c r="A702" s="4"/>
      <c r="B702" s="4"/>
      <c r="C702" s="4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5"/>
      <c r="R702" s="4"/>
      <c r="S702" s="4"/>
      <c r="T702" s="4"/>
      <c r="U702" s="5"/>
      <c r="V702" s="5"/>
      <c r="W702" s="4"/>
      <c r="X702" s="4"/>
      <c r="Y702" s="4"/>
      <c r="Z702" s="4"/>
      <c r="AA702" s="4"/>
      <c r="AB702" s="4"/>
      <c r="AC702" s="5"/>
      <c r="AD702" s="5"/>
      <c r="AE702" s="5"/>
    </row>
    <row r="703">
      <c r="A703" s="4"/>
      <c r="B703" s="4"/>
      <c r="C703" s="4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5"/>
      <c r="R703" s="4"/>
      <c r="S703" s="4"/>
      <c r="T703" s="4"/>
      <c r="U703" s="5"/>
      <c r="V703" s="5"/>
      <c r="W703" s="4"/>
      <c r="X703" s="4"/>
      <c r="Y703" s="4"/>
      <c r="Z703" s="4"/>
      <c r="AA703" s="4"/>
      <c r="AB703" s="4"/>
      <c r="AC703" s="5"/>
      <c r="AD703" s="5"/>
      <c r="AE703" s="5"/>
    </row>
    <row r="704">
      <c r="A704" s="4"/>
      <c r="B704" s="4"/>
      <c r="C704" s="4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5"/>
      <c r="R704" s="4"/>
      <c r="S704" s="4"/>
      <c r="T704" s="4"/>
      <c r="U704" s="5"/>
      <c r="V704" s="5"/>
      <c r="W704" s="4"/>
      <c r="X704" s="4"/>
      <c r="Y704" s="4"/>
      <c r="Z704" s="4"/>
      <c r="AA704" s="4"/>
      <c r="AB704" s="4"/>
      <c r="AC704" s="5"/>
      <c r="AD704" s="5"/>
      <c r="AE704" s="5"/>
    </row>
    <row r="705">
      <c r="A705" s="4"/>
      <c r="B705" s="4"/>
      <c r="C705" s="4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5"/>
      <c r="R705" s="4"/>
      <c r="S705" s="4"/>
      <c r="T705" s="4"/>
      <c r="U705" s="5"/>
      <c r="V705" s="5"/>
      <c r="W705" s="4"/>
      <c r="X705" s="4"/>
      <c r="Y705" s="4"/>
      <c r="Z705" s="4"/>
      <c r="AA705" s="4"/>
      <c r="AB705" s="4"/>
      <c r="AC705" s="5"/>
      <c r="AD705" s="5"/>
      <c r="AE705" s="5"/>
    </row>
    <row r="706">
      <c r="A706" s="4"/>
      <c r="B706" s="4"/>
      <c r="C706" s="4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5"/>
      <c r="R706" s="4"/>
      <c r="S706" s="4"/>
      <c r="T706" s="4"/>
      <c r="U706" s="5"/>
      <c r="V706" s="5"/>
      <c r="W706" s="4"/>
      <c r="X706" s="4"/>
      <c r="Y706" s="4"/>
      <c r="Z706" s="4"/>
      <c r="AA706" s="4"/>
      <c r="AB706" s="4"/>
      <c r="AC706" s="5"/>
      <c r="AD706" s="5"/>
      <c r="AE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8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4"/>
      <c r="B718" s="4"/>
      <c r="C718" s="4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5"/>
      <c r="R718" s="4"/>
      <c r="S718" s="4"/>
      <c r="T718" s="4"/>
      <c r="U718" s="5"/>
      <c r="V718" s="5"/>
      <c r="W718" s="4"/>
      <c r="X718" s="4"/>
      <c r="Y718" s="4"/>
      <c r="Z718" s="4"/>
      <c r="AA718" s="4"/>
      <c r="AB718" s="4"/>
      <c r="AC718" s="5"/>
      <c r="AD718" s="5"/>
      <c r="AE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8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4"/>
      <c r="B726" s="4"/>
      <c r="C726" s="4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5"/>
      <c r="R726" s="4"/>
      <c r="S726" s="4"/>
      <c r="T726" s="4"/>
      <c r="U726" s="5"/>
      <c r="V726" s="5"/>
      <c r="W726" s="4"/>
      <c r="X726" s="4"/>
      <c r="Y726" s="4"/>
      <c r="Z726" s="4"/>
      <c r="AA726" s="4"/>
      <c r="AB726" s="4"/>
      <c r="AC726" s="5"/>
      <c r="AD726" s="5"/>
      <c r="AE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4"/>
      <c r="B732" s="4"/>
      <c r="C732" s="4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5"/>
      <c r="R732" s="4"/>
      <c r="S732" s="4"/>
      <c r="T732" s="4"/>
      <c r="U732" s="5"/>
      <c r="V732" s="5"/>
      <c r="W732" s="4"/>
      <c r="X732" s="4"/>
      <c r="Y732" s="4"/>
      <c r="Z732" s="4"/>
      <c r="AA732" s="4"/>
      <c r="AB732" s="4"/>
      <c r="AC732" s="5"/>
      <c r="AD732" s="5"/>
      <c r="AE732" s="5"/>
    </row>
    <row r="733">
      <c r="A733" s="4"/>
      <c r="B733" s="4"/>
      <c r="C733" s="4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6"/>
      <c r="R733" s="4"/>
      <c r="S733" s="4"/>
      <c r="T733" s="4"/>
      <c r="U733" s="5"/>
      <c r="V733" s="5"/>
      <c r="W733" s="4"/>
      <c r="X733" s="4"/>
      <c r="Y733" s="4"/>
      <c r="Z733" s="4"/>
      <c r="AA733" s="4"/>
      <c r="AB733" s="4"/>
      <c r="AC733" s="5"/>
      <c r="AD733" s="5"/>
      <c r="AE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4"/>
      <c r="B742" s="4"/>
      <c r="C742" s="4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5"/>
      <c r="R742" s="4"/>
      <c r="S742" s="4"/>
      <c r="T742" s="4"/>
      <c r="U742" s="5"/>
      <c r="V742" s="5"/>
      <c r="W742" s="4"/>
      <c r="X742" s="4"/>
      <c r="Y742" s="4"/>
      <c r="Z742" s="4"/>
      <c r="AA742" s="4"/>
      <c r="AB742" s="4"/>
      <c r="AC742" s="5"/>
      <c r="AD742" s="5"/>
      <c r="AE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8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4"/>
      <c r="B747" s="4"/>
      <c r="C747" s="4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5"/>
      <c r="R747" s="4"/>
      <c r="S747" s="4"/>
      <c r="T747" s="4"/>
      <c r="U747" s="5"/>
      <c r="V747" s="5"/>
      <c r="W747" s="4"/>
      <c r="X747" s="4"/>
      <c r="Y747" s="4"/>
      <c r="Z747" s="4"/>
      <c r="AA747" s="4"/>
      <c r="AB747" s="4"/>
      <c r="AC747" s="5"/>
      <c r="AD747" s="5"/>
      <c r="AE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4"/>
      <c r="B750" s="4"/>
      <c r="C750" s="4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5"/>
      <c r="R750" s="4"/>
      <c r="S750" s="4"/>
      <c r="T750" s="4"/>
      <c r="U750" s="5"/>
      <c r="V750" s="5"/>
      <c r="W750" s="4"/>
      <c r="X750" s="4"/>
      <c r="Y750" s="4"/>
      <c r="Z750" s="4"/>
      <c r="AA750" s="4"/>
      <c r="AB750" s="4"/>
      <c r="AC750" s="5"/>
      <c r="AD750" s="5"/>
      <c r="AE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4"/>
      <c r="B759" s="4"/>
      <c r="C759" s="4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5"/>
      <c r="R759" s="4"/>
      <c r="S759" s="4"/>
      <c r="T759" s="4"/>
      <c r="U759" s="5"/>
      <c r="V759" s="5"/>
      <c r="W759" s="4"/>
      <c r="X759" s="4"/>
      <c r="Y759" s="4"/>
      <c r="Z759" s="4"/>
      <c r="AA759" s="4"/>
      <c r="AB759" s="4"/>
      <c r="AC759" s="5"/>
      <c r="AD759" s="5"/>
      <c r="AE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4"/>
      <c r="B761" s="4"/>
      <c r="C761" s="4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5"/>
      <c r="R761" s="4"/>
      <c r="S761" s="4"/>
      <c r="T761" s="4"/>
      <c r="U761" s="5"/>
      <c r="V761" s="5"/>
      <c r="W761" s="4"/>
      <c r="X761" s="4"/>
      <c r="Y761" s="4"/>
      <c r="Z761" s="4"/>
      <c r="AA761" s="4"/>
      <c r="AB761" s="4"/>
      <c r="AC761" s="5"/>
      <c r="AD761" s="5"/>
      <c r="AE761" s="5"/>
    </row>
    <row r="762">
      <c r="A762" s="4"/>
      <c r="B762" s="4"/>
      <c r="C762" s="4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5"/>
      <c r="R762" s="4"/>
      <c r="S762" s="4"/>
      <c r="T762" s="4"/>
      <c r="U762" s="5"/>
      <c r="V762" s="5"/>
      <c r="W762" s="4"/>
      <c r="X762" s="4"/>
      <c r="Y762" s="4"/>
      <c r="Z762" s="4"/>
      <c r="AA762" s="4"/>
      <c r="AB762" s="4"/>
      <c r="AC762" s="5"/>
      <c r="AD762" s="5"/>
      <c r="AE762" s="5"/>
    </row>
    <row r="763">
      <c r="A763" s="4"/>
      <c r="B763" s="4"/>
      <c r="C763" s="4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5"/>
      <c r="R763" s="4"/>
      <c r="S763" s="4"/>
      <c r="T763" s="4"/>
      <c r="U763" s="5"/>
      <c r="V763" s="5"/>
      <c r="W763" s="4"/>
      <c r="X763" s="4"/>
      <c r="Y763" s="4"/>
      <c r="Z763" s="4"/>
      <c r="AA763" s="4"/>
      <c r="AB763" s="4"/>
      <c r="AC763" s="5"/>
      <c r="AD763" s="5"/>
      <c r="AE763" s="5"/>
    </row>
    <row r="764">
      <c r="A764" s="4"/>
      <c r="B764" s="4"/>
      <c r="C764" s="4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5"/>
      <c r="R764" s="4"/>
      <c r="S764" s="4"/>
      <c r="T764" s="4"/>
      <c r="U764" s="5"/>
      <c r="V764" s="5"/>
      <c r="W764" s="4"/>
      <c r="X764" s="4"/>
      <c r="Y764" s="4"/>
      <c r="Z764" s="4"/>
      <c r="AA764" s="4"/>
      <c r="AB764" s="4"/>
      <c r="AC764" s="5"/>
      <c r="AD764" s="5"/>
      <c r="AE764" s="5"/>
    </row>
    <row r="765">
      <c r="A765" s="4"/>
      <c r="B765" s="4"/>
      <c r="C765" s="4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5"/>
      <c r="R765" s="4"/>
      <c r="S765" s="4"/>
      <c r="T765" s="4"/>
      <c r="U765" s="5"/>
      <c r="V765" s="5"/>
      <c r="W765" s="4"/>
      <c r="X765" s="4"/>
      <c r="Y765" s="4"/>
      <c r="Z765" s="4"/>
      <c r="AA765" s="4"/>
      <c r="AB765" s="4"/>
      <c r="AC765" s="5"/>
      <c r="AD765" s="5"/>
      <c r="AE765" s="5"/>
    </row>
    <row r="766">
      <c r="A766" s="4"/>
      <c r="B766" s="4"/>
      <c r="C766" s="4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5"/>
      <c r="R766" s="4"/>
      <c r="S766" s="4"/>
      <c r="T766" s="4"/>
      <c r="U766" s="5"/>
      <c r="V766" s="5"/>
      <c r="W766" s="4"/>
      <c r="X766" s="4"/>
      <c r="Y766" s="4"/>
      <c r="Z766" s="4"/>
      <c r="AA766" s="4"/>
      <c r="AB766" s="4"/>
      <c r="AC766" s="5"/>
      <c r="AD766" s="5"/>
      <c r="AE766" s="5"/>
    </row>
    <row r="767">
      <c r="A767" s="4"/>
      <c r="B767" s="4"/>
      <c r="C767" s="4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5"/>
      <c r="R767" s="4"/>
      <c r="S767" s="4"/>
      <c r="T767" s="4"/>
      <c r="U767" s="5"/>
      <c r="V767" s="5"/>
      <c r="W767" s="4"/>
      <c r="X767" s="4"/>
      <c r="Y767" s="4"/>
      <c r="Z767" s="4"/>
      <c r="AA767" s="4"/>
      <c r="AB767" s="4"/>
      <c r="AC767" s="5"/>
      <c r="AD767" s="5"/>
      <c r="AE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4"/>
      <c r="B774" s="4"/>
      <c r="C774" s="4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5"/>
      <c r="R774" s="4"/>
      <c r="S774" s="4"/>
      <c r="T774" s="4"/>
      <c r="U774" s="5"/>
      <c r="V774" s="5"/>
      <c r="W774" s="4"/>
      <c r="X774" s="4"/>
      <c r="Y774" s="4"/>
      <c r="Z774" s="4"/>
      <c r="AA774" s="4"/>
      <c r="AB774" s="4"/>
      <c r="AC774" s="5"/>
      <c r="AD774" s="5"/>
      <c r="AE774" s="5"/>
    </row>
    <row r="775">
      <c r="A775" s="4"/>
      <c r="B775" s="4"/>
      <c r="C775" s="4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5"/>
      <c r="R775" s="4"/>
      <c r="S775" s="4"/>
      <c r="T775" s="4"/>
      <c r="U775" s="5"/>
      <c r="V775" s="5"/>
      <c r="W775" s="4"/>
      <c r="X775" s="4"/>
      <c r="Y775" s="4"/>
      <c r="Z775" s="4"/>
      <c r="AA775" s="4"/>
      <c r="AB775" s="4"/>
      <c r="AC775" s="5"/>
      <c r="AD775" s="5"/>
      <c r="AE775" s="5"/>
    </row>
    <row r="776">
      <c r="A776" s="4"/>
      <c r="B776" s="4"/>
      <c r="C776" s="4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5"/>
      <c r="R776" s="4"/>
      <c r="S776" s="4"/>
      <c r="T776" s="4"/>
      <c r="U776" s="5"/>
      <c r="V776" s="5"/>
      <c r="W776" s="4"/>
      <c r="X776" s="4"/>
      <c r="Y776" s="4"/>
      <c r="Z776" s="4"/>
      <c r="AA776" s="4"/>
      <c r="AB776" s="4"/>
      <c r="AC776" s="5"/>
      <c r="AD776" s="5"/>
      <c r="AE776" s="5"/>
    </row>
    <row r="777">
      <c r="A777" s="4"/>
      <c r="B777" s="4"/>
      <c r="C777" s="4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5"/>
      <c r="R777" s="4"/>
      <c r="S777" s="4"/>
      <c r="T777" s="4"/>
      <c r="U777" s="5"/>
      <c r="V777" s="5"/>
      <c r="W777" s="4"/>
      <c r="X777" s="4"/>
      <c r="Y777" s="4"/>
      <c r="Z777" s="4"/>
      <c r="AA777" s="4"/>
      <c r="AB777" s="4"/>
      <c r="AC777" s="5"/>
      <c r="AD777" s="5"/>
      <c r="AE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4"/>
      <c r="B779" s="4"/>
      <c r="C779" s="4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5"/>
      <c r="R779" s="4"/>
      <c r="S779" s="4"/>
      <c r="T779" s="4"/>
      <c r="U779" s="5"/>
      <c r="V779" s="5"/>
      <c r="W779" s="4"/>
      <c r="X779" s="4"/>
      <c r="Y779" s="4"/>
      <c r="Z779" s="4"/>
      <c r="AA779" s="4"/>
      <c r="AB779" s="4"/>
      <c r="AC779" s="5"/>
      <c r="AD779" s="5"/>
      <c r="AE779" s="5"/>
    </row>
    <row r="780">
      <c r="A780" s="4"/>
      <c r="B780" s="4"/>
      <c r="C780" s="4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5"/>
      <c r="R780" s="4"/>
      <c r="S780" s="4"/>
      <c r="T780" s="4"/>
      <c r="U780" s="5"/>
      <c r="V780" s="5"/>
      <c r="W780" s="4"/>
      <c r="X780" s="4"/>
      <c r="Y780" s="4"/>
      <c r="Z780" s="4"/>
      <c r="AA780" s="4"/>
      <c r="AB780" s="4"/>
      <c r="AC780" s="5"/>
      <c r="AD780" s="5"/>
      <c r="AE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4"/>
      <c r="B782" s="4"/>
      <c r="C782" s="4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5"/>
      <c r="R782" s="4"/>
      <c r="S782" s="4"/>
      <c r="T782" s="4"/>
      <c r="U782" s="5"/>
      <c r="V782" s="5"/>
      <c r="W782" s="4"/>
      <c r="X782" s="4"/>
      <c r="Y782" s="4"/>
      <c r="Z782" s="4"/>
      <c r="AA782" s="4"/>
      <c r="AB782" s="4"/>
      <c r="AC782" s="5"/>
      <c r="AD782" s="5"/>
      <c r="AE782" s="5"/>
    </row>
    <row r="783">
      <c r="A783" s="4"/>
      <c r="B783" s="4"/>
      <c r="C783" s="4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5"/>
      <c r="R783" s="4"/>
      <c r="S783" s="4"/>
      <c r="T783" s="4"/>
      <c r="U783" s="5"/>
      <c r="V783" s="5"/>
      <c r="W783" s="4"/>
      <c r="X783" s="4"/>
      <c r="Y783" s="4"/>
      <c r="Z783" s="4"/>
      <c r="AA783" s="4"/>
      <c r="AB783" s="4"/>
      <c r="AC783" s="5"/>
      <c r="AD783" s="5"/>
      <c r="AE783" s="5"/>
    </row>
    <row r="784">
      <c r="A784" s="4"/>
      <c r="B784" s="4"/>
      <c r="C784" s="4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5"/>
      <c r="R784" s="4"/>
      <c r="S784" s="4"/>
      <c r="T784" s="4"/>
      <c r="U784" s="5"/>
      <c r="V784" s="5"/>
      <c r="W784" s="4"/>
      <c r="X784" s="4"/>
      <c r="Y784" s="4"/>
      <c r="Z784" s="4"/>
      <c r="AA784" s="4"/>
      <c r="AB784" s="4"/>
      <c r="AC784" s="5"/>
      <c r="AD784" s="5"/>
      <c r="AE784" s="5"/>
    </row>
    <row r="785">
      <c r="A785" s="4"/>
      <c r="B785" s="4"/>
      <c r="C785" s="4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5"/>
      <c r="R785" s="4"/>
      <c r="S785" s="4"/>
      <c r="T785" s="4"/>
      <c r="U785" s="5"/>
      <c r="V785" s="5"/>
      <c r="W785" s="4"/>
      <c r="X785" s="4"/>
      <c r="Y785" s="4"/>
      <c r="Z785" s="4"/>
      <c r="AA785" s="4"/>
      <c r="AB785" s="4"/>
      <c r="AC785" s="5"/>
      <c r="AD785" s="5"/>
      <c r="AE785" s="5"/>
    </row>
    <row r="786">
      <c r="A786" s="4"/>
      <c r="B786" s="4"/>
      <c r="C786" s="4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5"/>
      <c r="R786" s="4"/>
      <c r="S786" s="4"/>
      <c r="T786" s="4"/>
      <c r="U786" s="5"/>
      <c r="V786" s="5"/>
      <c r="W786" s="4"/>
      <c r="X786" s="4"/>
      <c r="Y786" s="4"/>
      <c r="Z786" s="4"/>
      <c r="AA786" s="4"/>
      <c r="AB786" s="4"/>
      <c r="AC786" s="5"/>
      <c r="AD786" s="5"/>
      <c r="AE786" s="5"/>
    </row>
    <row r="787">
      <c r="A787" s="4"/>
      <c r="B787" s="4"/>
      <c r="C787" s="4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5"/>
      <c r="R787" s="4"/>
      <c r="S787" s="4"/>
      <c r="T787" s="4"/>
      <c r="U787" s="5"/>
      <c r="V787" s="5"/>
      <c r="W787" s="4"/>
      <c r="X787" s="4"/>
      <c r="Y787" s="4"/>
      <c r="Z787" s="4"/>
      <c r="AA787" s="4"/>
      <c r="AB787" s="4"/>
      <c r="AC787" s="5"/>
      <c r="AD787" s="5"/>
      <c r="AE787" s="5"/>
    </row>
    <row r="788">
      <c r="A788" s="4"/>
      <c r="B788" s="4"/>
      <c r="C788" s="4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5"/>
      <c r="R788" s="4"/>
      <c r="S788" s="4"/>
      <c r="T788" s="4"/>
      <c r="U788" s="5"/>
      <c r="V788" s="5"/>
      <c r="W788" s="4"/>
      <c r="X788" s="4"/>
      <c r="Y788" s="4"/>
      <c r="Z788" s="4"/>
      <c r="AA788" s="4"/>
      <c r="AB788" s="4"/>
      <c r="AC788" s="5"/>
      <c r="AD788" s="5"/>
      <c r="AE788" s="5"/>
    </row>
    <row r="789">
      <c r="A789" s="4"/>
      <c r="B789" s="4"/>
      <c r="C789" s="4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5"/>
      <c r="R789" s="4"/>
      <c r="S789" s="4"/>
      <c r="T789" s="4"/>
      <c r="U789" s="5"/>
      <c r="V789" s="5"/>
      <c r="W789" s="4"/>
      <c r="X789" s="4"/>
      <c r="Y789" s="4"/>
      <c r="Z789" s="4"/>
      <c r="AA789" s="4"/>
      <c r="AB789" s="4"/>
      <c r="AC789" s="5"/>
      <c r="AD789" s="5"/>
      <c r="AE789" s="5"/>
    </row>
    <row r="790">
      <c r="A790" s="4"/>
      <c r="B790" s="4"/>
      <c r="C790" s="4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5"/>
      <c r="R790" s="4"/>
      <c r="S790" s="4"/>
      <c r="T790" s="4"/>
      <c r="U790" s="5"/>
      <c r="V790" s="5"/>
      <c r="W790" s="4"/>
      <c r="X790" s="4"/>
      <c r="Y790" s="4"/>
      <c r="Z790" s="4"/>
      <c r="AA790" s="4"/>
      <c r="AB790" s="4"/>
      <c r="AC790" s="5"/>
      <c r="AD790" s="5"/>
      <c r="AE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4"/>
      <c r="B792" s="4"/>
      <c r="C792" s="4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5"/>
      <c r="R792" s="4"/>
      <c r="S792" s="4"/>
      <c r="T792" s="4"/>
      <c r="U792" s="5"/>
      <c r="V792" s="5"/>
      <c r="W792" s="4"/>
      <c r="X792" s="4"/>
      <c r="Y792" s="4"/>
      <c r="Z792" s="4"/>
      <c r="AA792" s="4"/>
      <c r="AB792" s="4"/>
      <c r="AC792" s="5"/>
      <c r="AD792" s="5"/>
      <c r="AE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4"/>
      <c r="B798" s="4"/>
      <c r="C798" s="4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5"/>
      <c r="R798" s="4"/>
      <c r="S798" s="4"/>
      <c r="T798" s="4"/>
      <c r="U798" s="5"/>
      <c r="V798" s="5"/>
      <c r="W798" s="4"/>
      <c r="X798" s="4"/>
      <c r="Y798" s="4"/>
      <c r="Z798" s="4"/>
      <c r="AA798" s="4"/>
      <c r="AB798" s="4"/>
      <c r="AC798" s="5"/>
      <c r="AD798" s="5"/>
      <c r="AE798" s="5"/>
    </row>
    <row r="799">
      <c r="A799" s="4"/>
      <c r="B799" s="4"/>
      <c r="C799" s="4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5"/>
      <c r="R799" s="4"/>
      <c r="S799" s="4"/>
      <c r="T799" s="4"/>
      <c r="U799" s="5"/>
      <c r="V799" s="5"/>
      <c r="W799" s="4"/>
      <c r="X799" s="4"/>
      <c r="Y799" s="4"/>
      <c r="Z799" s="4"/>
      <c r="AA799" s="4"/>
      <c r="AB799" s="4"/>
      <c r="AC799" s="5"/>
      <c r="AD799" s="5"/>
      <c r="AE799" s="5"/>
    </row>
    <row r="800">
      <c r="A800" s="4"/>
      <c r="B800" s="4"/>
      <c r="C800" s="4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5"/>
      <c r="R800" s="4"/>
      <c r="S800" s="4"/>
      <c r="T800" s="4"/>
      <c r="U800" s="5"/>
      <c r="V800" s="5"/>
      <c r="W800" s="4"/>
      <c r="X800" s="4"/>
      <c r="Y800" s="4"/>
      <c r="Z800" s="4"/>
      <c r="AA800" s="4"/>
      <c r="AB800" s="4"/>
      <c r="AC800" s="5"/>
      <c r="AD800" s="5"/>
      <c r="AE800" s="5"/>
    </row>
    <row r="801">
      <c r="A801" s="4"/>
      <c r="B801" s="4"/>
      <c r="C801" s="4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5"/>
      <c r="R801" s="4"/>
      <c r="S801" s="4"/>
      <c r="T801" s="4"/>
      <c r="U801" s="5"/>
      <c r="V801" s="5"/>
      <c r="W801" s="4"/>
      <c r="X801" s="4"/>
      <c r="Y801" s="4"/>
      <c r="Z801" s="4"/>
      <c r="AA801" s="4"/>
      <c r="AB801" s="4"/>
      <c r="AC801" s="5"/>
      <c r="AD801" s="5"/>
      <c r="AE801" s="5"/>
    </row>
    <row r="802">
      <c r="A802" s="4"/>
      <c r="B802" s="4"/>
      <c r="C802" s="4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5"/>
      <c r="R802" s="4"/>
      <c r="S802" s="4"/>
      <c r="T802" s="4"/>
      <c r="U802" s="5"/>
      <c r="V802" s="5"/>
      <c r="W802" s="4"/>
      <c r="X802" s="4"/>
      <c r="Y802" s="4"/>
      <c r="Z802" s="4"/>
      <c r="AA802" s="4"/>
      <c r="AB802" s="4"/>
      <c r="AC802" s="5"/>
      <c r="AD802" s="5"/>
      <c r="AE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4"/>
      <c r="B804" s="4"/>
      <c r="C804" s="4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5"/>
      <c r="R804" s="4"/>
      <c r="S804" s="4"/>
      <c r="T804" s="4"/>
      <c r="U804" s="5"/>
      <c r="V804" s="5"/>
      <c r="W804" s="4"/>
      <c r="X804" s="4"/>
      <c r="Y804" s="4"/>
      <c r="Z804" s="4"/>
      <c r="AA804" s="4"/>
      <c r="AB804" s="4"/>
      <c r="AC804" s="5"/>
      <c r="AD804" s="5"/>
      <c r="AE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4"/>
      <c r="B809" s="4"/>
      <c r="C809" s="4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5"/>
      <c r="R809" s="4"/>
      <c r="S809" s="4"/>
      <c r="T809" s="4"/>
      <c r="U809" s="5"/>
      <c r="V809" s="5"/>
      <c r="W809" s="4"/>
      <c r="X809" s="4"/>
      <c r="Y809" s="4"/>
      <c r="Z809" s="4"/>
      <c r="AA809" s="4"/>
      <c r="AB809" s="4"/>
      <c r="AC809" s="5"/>
      <c r="AD809" s="5"/>
      <c r="AE809" s="5"/>
    </row>
    <row r="810">
      <c r="A810" s="4"/>
      <c r="B810" s="4"/>
      <c r="C810" s="4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5"/>
      <c r="R810" s="4"/>
      <c r="S810" s="4"/>
      <c r="T810" s="4"/>
      <c r="U810" s="5"/>
      <c r="V810" s="5"/>
      <c r="W810" s="4"/>
      <c r="X810" s="4"/>
      <c r="Y810" s="4"/>
      <c r="Z810" s="4"/>
      <c r="AA810" s="4"/>
      <c r="AB810" s="4"/>
      <c r="AC810" s="5"/>
      <c r="AD810" s="5"/>
      <c r="AE810" s="5"/>
    </row>
    <row r="811">
      <c r="A811" s="4"/>
      <c r="B811" s="4"/>
      <c r="C811" s="4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5"/>
      <c r="R811" s="4"/>
      <c r="S811" s="4"/>
      <c r="T811" s="4"/>
      <c r="U811" s="5"/>
      <c r="V811" s="5"/>
      <c r="W811" s="4"/>
      <c r="X811" s="4"/>
      <c r="Y811" s="4"/>
      <c r="Z811" s="4"/>
      <c r="AA811" s="4"/>
      <c r="AB811" s="4"/>
      <c r="AC811" s="5"/>
      <c r="AD811" s="5"/>
      <c r="AE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4"/>
      <c r="B816" s="4"/>
      <c r="C816" s="4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5"/>
      <c r="R816" s="4"/>
      <c r="S816" s="4"/>
      <c r="T816" s="4"/>
      <c r="U816" s="5"/>
      <c r="V816" s="5"/>
      <c r="W816" s="4"/>
      <c r="X816" s="4"/>
      <c r="Y816" s="4"/>
      <c r="Z816" s="4"/>
      <c r="AA816" s="4"/>
      <c r="AB816" s="4"/>
      <c r="AC816" s="5"/>
      <c r="AD816" s="5"/>
      <c r="AE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4"/>
      <c r="B818" s="4"/>
      <c r="C818" s="4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5"/>
      <c r="R818" s="4"/>
      <c r="S818" s="4"/>
      <c r="T818" s="4"/>
      <c r="U818" s="5"/>
      <c r="V818" s="5"/>
      <c r="W818" s="4"/>
      <c r="X818" s="4"/>
      <c r="Y818" s="4"/>
      <c r="Z818" s="4"/>
      <c r="AA818" s="4"/>
      <c r="AB818" s="4"/>
      <c r="AC818" s="5"/>
      <c r="AD818" s="5"/>
      <c r="AE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4"/>
      <c r="B820" s="4"/>
      <c r="C820" s="4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5"/>
      <c r="R820" s="4"/>
      <c r="S820" s="4"/>
      <c r="T820" s="4"/>
      <c r="U820" s="5"/>
      <c r="V820" s="5"/>
      <c r="W820" s="4"/>
      <c r="X820" s="4"/>
      <c r="Y820" s="4"/>
      <c r="Z820" s="4"/>
      <c r="AA820" s="4"/>
      <c r="AB820" s="4"/>
      <c r="AC820" s="5"/>
      <c r="AD820" s="5"/>
      <c r="AE820" s="5"/>
    </row>
    <row r="821">
      <c r="A821" s="4"/>
      <c r="B821" s="4"/>
      <c r="C821" s="4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5"/>
      <c r="R821" s="4"/>
      <c r="S821" s="4"/>
      <c r="T821" s="4"/>
      <c r="U821" s="5"/>
      <c r="V821" s="5"/>
      <c r="W821" s="4"/>
      <c r="X821" s="4"/>
      <c r="Y821" s="4"/>
      <c r="Z821" s="4"/>
      <c r="AA821" s="4"/>
      <c r="AB821" s="4"/>
      <c r="AC821" s="5"/>
      <c r="AD821" s="5"/>
      <c r="AE821" s="5"/>
    </row>
    <row r="822">
      <c r="A822" s="4"/>
      <c r="B822" s="4"/>
      <c r="C822" s="4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5"/>
      <c r="R822" s="4"/>
      <c r="S822" s="4"/>
      <c r="T822" s="4"/>
      <c r="U822" s="5"/>
      <c r="V822" s="5"/>
      <c r="W822" s="4"/>
      <c r="X822" s="4"/>
      <c r="Y822" s="4"/>
      <c r="Z822" s="4"/>
      <c r="AA822" s="4"/>
      <c r="AB822" s="4"/>
      <c r="AC822" s="5"/>
      <c r="AD822" s="5"/>
      <c r="AE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4"/>
      <c r="B824" s="4"/>
      <c r="C824" s="4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5"/>
      <c r="R824" s="4"/>
      <c r="S824" s="4"/>
      <c r="T824" s="4"/>
      <c r="U824" s="5"/>
      <c r="V824" s="5"/>
      <c r="W824" s="4"/>
      <c r="X824" s="4"/>
      <c r="Y824" s="4"/>
      <c r="Z824" s="4"/>
      <c r="AA824" s="4"/>
      <c r="AB824" s="4"/>
      <c r="AC824" s="5"/>
      <c r="AD824" s="5"/>
      <c r="AE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4"/>
      <c r="B827" s="4"/>
      <c r="C827" s="4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5"/>
      <c r="R827" s="4"/>
      <c r="S827" s="4"/>
      <c r="T827" s="4"/>
      <c r="U827" s="5"/>
      <c r="V827" s="5"/>
      <c r="W827" s="4"/>
      <c r="X827" s="4"/>
      <c r="Y827" s="4"/>
      <c r="Z827" s="4"/>
      <c r="AA827" s="4"/>
      <c r="AB827" s="4"/>
      <c r="AC827" s="5"/>
      <c r="AD827" s="5"/>
      <c r="AE827" s="5"/>
    </row>
    <row r="828">
      <c r="A828" s="4"/>
      <c r="B828" s="4"/>
      <c r="C828" s="4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5"/>
      <c r="R828" s="4"/>
      <c r="S828" s="4"/>
      <c r="T828" s="4"/>
      <c r="U828" s="5"/>
      <c r="V828" s="5"/>
      <c r="W828" s="4"/>
      <c r="X828" s="4"/>
      <c r="Y828" s="4"/>
      <c r="Z828" s="4"/>
      <c r="AA828" s="4"/>
      <c r="AB828" s="4"/>
      <c r="AC828" s="5"/>
      <c r="AD828" s="5"/>
      <c r="AE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4"/>
      <c r="B830" s="4"/>
      <c r="C830" s="4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5"/>
      <c r="R830" s="4"/>
      <c r="S830" s="4"/>
      <c r="T830" s="4"/>
      <c r="U830" s="5"/>
      <c r="V830" s="5"/>
      <c r="W830" s="4"/>
      <c r="X830" s="4"/>
      <c r="Y830" s="4"/>
      <c r="Z830" s="4"/>
      <c r="AA830" s="4"/>
      <c r="AB830" s="4"/>
      <c r="AC830" s="5"/>
      <c r="AD830" s="5"/>
      <c r="AE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4"/>
      <c r="B833" s="4"/>
      <c r="C833" s="4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5"/>
      <c r="R833" s="4"/>
      <c r="S833" s="4"/>
      <c r="T833" s="4"/>
      <c r="U833" s="5"/>
      <c r="V833" s="5"/>
      <c r="W833" s="4"/>
      <c r="X833" s="4"/>
      <c r="Y833" s="4"/>
      <c r="Z833" s="4"/>
      <c r="AA833" s="4"/>
      <c r="AB833" s="4"/>
      <c r="AC833" s="5"/>
      <c r="AD833" s="5"/>
      <c r="AE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4"/>
      <c r="B835" s="4"/>
      <c r="C835" s="4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5"/>
      <c r="R835" s="4"/>
      <c r="S835" s="4"/>
      <c r="T835" s="4"/>
      <c r="U835" s="5"/>
      <c r="V835" s="5"/>
      <c r="W835" s="4"/>
      <c r="X835" s="4"/>
      <c r="Y835" s="4"/>
      <c r="Z835" s="4"/>
      <c r="AA835" s="4"/>
      <c r="AB835" s="4"/>
      <c r="AC835" s="5"/>
      <c r="AD835" s="5"/>
      <c r="AE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4"/>
      <c r="B842" s="4"/>
      <c r="C842" s="4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5"/>
      <c r="R842" s="4"/>
      <c r="S842" s="4"/>
      <c r="T842" s="4"/>
      <c r="U842" s="5"/>
      <c r="V842" s="5"/>
      <c r="W842" s="4"/>
      <c r="X842" s="4"/>
      <c r="Y842" s="4"/>
      <c r="Z842" s="4"/>
      <c r="AA842" s="4"/>
      <c r="AB842" s="4"/>
      <c r="AC842" s="5"/>
      <c r="AD842" s="5"/>
      <c r="AE842" s="5"/>
    </row>
    <row r="843">
      <c r="A843" s="4"/>
      <c r="B843" s="4"/>
      <c r="C843" s="4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5"/>
      <c r="R843" s="4"/>
      <c r="S843" s="4"/>
      <c r="T843" s="4"/>
      <c r="U843" s="5"/>
      <c r="V843" s="5"/>
      <c r="W843" s="4"/>
      <c r="X843" s="4"/>
      <c r="Y843" s="4"/>
      <c r="Z843" s="4"/>
      <c r="AA843" s="4"/>
      <c r="AB843" s="4"/>
      <c r="AC843" s="5"/>
      <c r="AD843" s="5"/>
      <c r="AE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4"/>
      <c r="B845" s="4"/>
      <c r="C845" s="4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5"/>
      <c r="R845" s="4"/>
      <c r="S845" s="4"/>
      <c r="T845" s="4"/>
      <c r="U845" s="5"/>
      <c r="V845" s="5"/>
      <c r="W845" s="4"/>
      <c r="X845" s="4"/>
      <c r="Y845" s="4"/>
      <c r="Z845" s="4"/>
      <c r="AA845" s="4"/>
      <c r="AB845" s="4"/>
      <c r="AC845" s="5"/>
      <c r="AD845" s="5"/>
      <c r="AE845" s="5"/>
    </row>
    <row r="846">
      <c r="A846" s="4"/>
      <c r="B846" s="4"/>
      <c r="C846" s="4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5"/>
      <c r="R846" s="4"/>
      <c r="S846" s="4"/>
      <c r="T846" s="4"/>
      <c r="U846" s="5"/>
      <c r="V846" s="5"/>
      <c r="W846" s="4"/>
      <c r="X846" s="4"/>
      <c r="Y846" s="4"/>
      <c r="Z846" s="4"/>
      <c r="AA846" s="4"/>
      <c r="AB846" s="4"/>
      <c r="AC846" s="5"/>
      <c r="AD846" s="5"/>
      <c r="AE846" s="5"/>
    </row>
    <row r="847">
      <c r="A847" s="4"/>
      <c r="B847" s="4"/>
      <c r="C847" s="4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5"/>
      <c r="R847" s="4"/>
      <c r="S847" s="4"/>
      <c r="T847" s="4"/>
      <c r="U847" s="5"/>
      <c r="V847" s="5"/>
      <c r="W847" s="4"/>
      <c r="X847" s="4"/>
      <c r="Y847" s="4"/>
      <c r="Z847" s="4"/>
      <c r="AA847" s="4"/>
      <c r="AB847" s="4"/>
      <c r="AC847" s="5"/>
      <c r="AD847" s="5"/>
      <c r="AE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4"/>
      <c r="B849" s="4"/>
      <c r="C849" s="4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5"/>
      <c r="R849" s="4"/>
      <c r="S849" s="4"/>
      <c r="T849" s="4"/>
      <c r="U849" s="5"/>
      <c r="V849" s="5"/>
      <c r="W849" s="4"/>
      <c r="X849" s="4"/>
      <c r="Y849" s="4"/>
      <c r="Z849" s="4"/>
      <c r="AA849" s="4"/>
      <c r="AB849" s="4"/>
      <c r="AC849" s="5"/>
      <c r="AD849" s="5"/>
      <c r="AE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4"/>
      <c r="B852" s="4"/>
      <c r="C852" s="4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5"/>
      <c r="R852" s="4"/>
      <c r="S852" s="4"/>
      <c r="T852" s="4"/>
      <c r="U852" s="5"/>
      <c r="V852" s="5"/>
      <c r="W852" s="4"/>
      <c r="X852" s="4"/>
      <c r="Y852" s="4"/>
      <c r="Z852" s="4"/>
      <c r="AA852" s="4"/>
      <c r="AB852" s="4"/>
      <c r="AC852" s="5"/>
      <c r="AD852" s="5"/>
      <c r="AE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4"/>
      <c r="B854" s="4"/>
      <c r="C854" s="4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5"/>
      <c r="R854" s="4"/>
      <c r="S854" s="4"/>
      <c r="T854" s="4"/>
      <c r="U854" s="5"/>
      <c r="V854" s="5"/>
      <c r="W854" s="4"/>
      <c r="X854" s="4"/>
      <c r="Y854" s="4"/>
      <c r="Z854" s="4"/>
      <c r="AA854" s="4"/>
      <c r="AB854" s="4"/>
      <c r="AC854" s="5"/>
      <c r="AD854" s="5"/>
      <c r="AE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4"/>
      <c r="B856" s="4"/>
      <c r="C856" s="4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5"/>
      <c r="R856" s="4"/>
      <c r="S856" s="4"/>
      <c r="T856" s="4"/>
      <c r="U856" s="5"/>
      <c r="V856" s="5"/>
      <c r="W856" s="4"/>
      <c r="X856" s="4"/>
      <c r="Y856" s="4"/>
      <c r="Z856" s="4"/>
      <c r="AA856" s="4"/>
      <c r="AB856" s="4"/>
      <c r="AC856" s="5"/>
      <c r="AD856" s="5"/>
      <c r="AE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4"/>
      <c r="B858" s="4"/>
      <c r="C858" s="4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5"/>
      <c r="R858" s="4"/>
      <c r="S858" s="4"/>
      <c r="T858" s="4"/>
      <c r="U858" s="5"/>
      <c r="V858" s="5"/>
      <c r="W858" s="4"/>
      <c r="X858" s="4"/>
      <c r="Y858" s="4"/>
      <c r="Z858" s="4"/>
      <c r="AA858" s="4"/>
      <c r="AB858" s="4"/>
      <c r="AC858" s="5"/>
      <c r="AD858" s="5"/>
      <c r="AE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4"/>
      <c r="B860" s="4"/>
      <c r="C860" s="4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5"/>
      <c r="R860" s="4"/>
      <c r="S860" s="4"/>
      <c r="T860" s="4"/>
      <c r="U860" s="5"/>
      <c r="V860" s="5"/>
      <c r="W860" s="4"/>
      <c r="X860" s="4"/>
      <c r="Y860" s="4"/>
      <c r="Z860" s="4"/>
      <c r="AA860" s="4"/>
      <c r="AB860" s="4"/>
      <c r="AC860" s="5"/>
      <c r="AD860" s="5"/>
      <c r="AE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4"/>
      <c r="B862" s="4"/>
      <c r="C862" s="4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5"/>
      <c r="R862" s="4"/>
      <c r="S862" s="4"/>
      <c r="T862" s="4"/>
      <c r="U862" s="5"/>
      <c r="V862" s="5"/>
      <c r="W862" s="4"/>
      <c r="X862" s="4"/>
      <c r="Y862" s="4"/>
      <c r="Z862" s="4"/>
      <c r="AA862" s="4"/>
      <c r="AB862" s="4"/>
      <c r="AC862" s="5"/>
      <c r="AD862" s="5"/>
      <c r="AE862" s="5"/>
    </row>
    <row r="863">
      <c r="A863" s="4"/>
      <c r="B863" s="4"/>
      <c r="C863" s="4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5"/>
      <c r="R863" s="4"/>
      <c r="S863" s="4"/>
      <c r="T863" s="4"/>
      <c r="U863" s="5"/>
      <c r="V863" s="5"/>
      <c r="W863" s="4"/>
      <c r="X863" s="4"/>
      <c r="Y863" s="4"/>
      <c r="Z863" s="4"/>
      <c r="AA863" s="4"/>
      <c r="AB863" s="4"/>
      <c r="AC863" s="5"/>
      <c r="AD863" s="5"/>
      <c r="AE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4"/>
      <c r="B867" s="4"/>
      <c r="C867" s="4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5"/>
      <c r="R867" s="4"/>
      <c r="S867" s="4"/>
      <c r="T867" s="4"/>
      <c r="U867" s="5"/>
      <c r="V867" s="5"/>
      <c r="W867" s="4"/>
      <c r="X867" s="4"/>
      <c r="Y867" s="4"/>
      <c r="Z867" s="4"/>
      <c r="AA867" s="4"/>
      <c r="AB867" s="4"/>
      <c r="AC867" s="5"/>
      <c r="AD867" s="5"/>
      <c r="AE867" s="5"/>
    </row>
    <row r="868">
      <c r="A868" s="4"/>
      <c r="B868" s="4"/>
      <c r="C868" s="4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5"/>
      <c r="R868" s="4"/>
      <c r="S868" s="4"/>
      <c r="T868" s="4"/>
      <c r="U868" s="5"/>
      <c r="V868" s="5"/>
      <c r="W868" s="4"/>
      <c r="X868" s="4"/>
      <c r="Y868" s="4"/>
      <c r="Z868" s="4"/>
      <c r="AA868" s="4"/>
      <c r="AB868" s="4"/>
      <c r="AC868" s="5"/>
      <c r="AD868" s="5"/>
      <c r="AE868" s="5"/>
    </row>
    <row r="869">
      <c r="A869" s="4"/>
      <c r="B869" s="4"/>
      <c r="C869" s="4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5"/>
      <c r="R869" s="4"/>
      <c r="S869" s="4"/>
      <c r="T869" s="4"/>
      <c r="U869" s="5"/>
      <c r="V869" s="5"/>
      <c r="W869" s="4"/>
      <c r="X869" s="4"/>
      <c r="Y869" s="4"/>
      <c r="Z869" s="4"/>
      <c r="AA869" s="4"/>
      <c r="AB869" s="4"/>
      <c r="AC869" s="5"/>
      <c r="AD869" s="5"/>
      <c r="AE869" s="5"/>
    </row>
    <row r="870">
      <c r="A870" s="4"/>
      <c r="B870" s="4"/>
      <c r="C870" s="4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5"/>
      <c r="R870" s="4"/>
      <c r="S870" s="4"/>
      <c r="T870" s="4"/>
      <c r="U870" s="5"/>
      <c r="V870" s="5"/>
      <c r="W870" s="4"/>
      <c r="X870" s="4"/>
      <c r="Y870" s="4"/>
      <c r="Z870" s="4"/>
      <c r="AA870" s="4"/>
      <c r="AB870" s="4"/>
      <c r="AC870" s="5"/>
      <c r="AD870" s="5"/>
      <c r="AE870" s="5"/>
    </row>
    <row r="871">
      <c r="A871" s="4"/>
      <c r="B871" s="4"/>
      <c r="C871" s="4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5"/>
      <c r="R871" s="4"/>
      <c r="S871" s="4"/>
      <c r="T871" s="4"/>
      <c r="U871" s="5"/>
      <c r="V871" s="5"/>
      <c r="W871" s="4"/>
      <c r="X871" s="4"/>
      <c r="Y871" s="4"/>
      <c r="Z871" s="4"/>
      <c r="AA871" s="4"/>
      <c r="AB871" s="4"/>
      <c r="AC871" s="5"/>
      <c r="AD871" s="5"/>
      <c r="AE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4"/>
      <c r="B873" s="4"/>
      <c r="C873" s="4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5"/>
      <c r="R873" s="4"/>
      <c r="S873" s="4"/>
      <c r="T873" s="4"/>
      <c r="U873" s="5"/>
      <c r="V873" s="5"/>
      <c r="W873" s="4"/>
      <c r="X873" s="4"/>
      <c r="Y873" s="4"/>
      <c r="Z873" s="4"/>
      <c r="AA873" s="4"/>
      <c r="AB873" s="4"/>
      <c r="AC873" s="5"/>
      <c r="AD873" s="5"/>
      <c r="AE873" s="5"/>
    </row>
    <row r="874">
      <c r="A874" s="4"/>
      <c r="B874" s="4"/>
      <c r="C874" s="4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5"/>
      <c r="R874" s="4"/>
      <c r="S874" s="4"/>
      <c r="T874" s="4"/>
      <c r="U874" s="5"/>
      <c r="V874" s="5"/>
      <c r="W874" s="4"/>
      <c r="X874" s="4"/>
      <c r="Y874" s="4"/>
      <c r="Z874" s="4"/>
      <c r="AA874" s="4"/>
      <c r="AB874" s="4"/>
      <c r="AC874" s="5"/>
      <c r="AD874" s="5"/>
      <c r="AE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4"/>
      <c r="B876" s="4"/>
      <c r="C876" s="4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5"/>
      <c r="R876" s="4"/>
      <c r="S876" s="4"/>
      <c r="T876" s="4"/>
      <c r="U876" s="5"/>
      <c r="V876" s="5"/>
      <c r="W876" s="4"/>
      <c r="X876" s="4"/>
      <c r="Y876" s="4"/>
      <c r="Z876" s="4"/>
      <c r="AA876" s="4"/>
      <c r="AB876" s="4"/>
      <c r="AC876" s="5"/>
      <c r="AD876" s="5"/>
      <c r="AE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4"/>
      <c r="B884" s="4"/>
      <c r="C884" s="4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5"/>
      <c r="R884" s="4"/>
      <c r="S884" s="4"/>
      <c r="T884" s="4"/>
      <c r="U884" s="5"/>
      <c r="V884" s="5"/>
      <c r="W884" s="4"/>
      <c r="X884" s="4"/>
      <c r="Y884" s="4"/>
      <c r="Z884" s="4"/>
      <c r="AA884" s="4"/>
      <c r="AB884" s="4"/>
      <c r="AC884" s="5"/>
      <c r="AD884" s="5"/>
      <c r="AE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4"/>
      <c r="B887" s="4"/>
      <c r="C887" s="4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5"/>
      <c r="R887" s="4"/>
      <c r="S887" s="4"/>
      <c r="T887" s="4"/>
      <c r="U887" s="5"/>
      <c r="V887" s="5"/>
      <c r="W887" s="4"/>
      <c r="X887" s="4"/>
      <c r="Y887" s="4"/>
      <c r="Z887" s="4"/>
      <c r="AA887" s="4"/>
      <c r="AB887" s="4"/>
      <c r="AC887" s="5"/>
      <c r="AD887" s="5"/>
      <c r="AE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4"/>
      <c r="B899" s="4"/>
      <c r="C899" s="4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5"/>
      <c r="R899" s="4"/>
      <c r="S899" s="4"/>
      <c r="T899" s="4"/>
      <c r="U899" s="5"/>
      <c r="V899" s="5"/>
      <c r="W899" s="4"/>
      <c r="X899" s="4"/>
      <c r="Y899" s="4"/>
      <c r="Z899" s="4"/>
      <c r="AA899" s="4"/>
      <c r="AB899" s="4"/>
      <c r="AC899" s="5"/>
      <c r="AD899" s="5"/>
      <c r="AE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4"/>
      <c r="B901" s="4"/>
      <c r="C901" s="4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5"/>
      <c r="R901" s="4"/>
      <c r="S901" s="4"/>
      <c r="T901" s="4"/>
      <c r="U901" s="5"/>
      <c r="V901" s="5"/>
      <c r="W901" s="4"/>
      <c r="X901" s="4"/>
      <c r="Y901" s="4"/>
      <c r="Z901" s="4"/>
      <c r="AA901" s="4"/>
      <c r="AB901" s="4"/>
      <c r="AC901" s="5"/>
      <c r="AD901" s="5"/>
      <c r="AE901" s="5"/>
    </row>
    <row r="902">
      <c r="A902" s="4"/>
      <c r="B902" s="4"/>
      <c r="C902" s="4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5"/>
      <c r="R902" s="4"/>
      <c r="S902" s="4"/>
      <c r="T902" s="4"/>
      <c r="U902" s="5"/>
      <c r="V902" s="5"/>
      <c r="W902" s="4"/>
      <c r="X902" s="4"/>
      <c r="Y902" s="4"/>
      <c r="Z902" s="4"/>
      <c r="AA902" s="4"/>
      <c r="AB902" s="4"/>
      <c r="AC902" s="5"/>
      <c r="AD902" s="5"/>
      <c r="AE902" s="5"/>
    </row>
    <row r="903">
      <c r="A903" s="4"/>
      <c r="B903" s="4"/>
      <c r="C903" s="4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5"/>
      <c r="R903" s="4"/>
      <c r="S903" s="4"/>
      <c r="T903" s="4"/>
      <c r="U903" s="5"/>
      <c r="V903" s="5"/>
      <c r="W903" s="4"/>
      <c r="X903" s="4"/>
      <c r="Y903" s="4"/>
      <c r="Z903" s="4"/>
      <c r="AA903" s="4"/>
      <c r="AB903" s="4"/>
      <c r="AC903" s="5"/>
      <c r="AD903" s="5"/>
      <c r="AE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4"/>
      <c r="B907" s="4"/>
      <c r="C907" s="4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5"/>
      <c r="R907" s="4"/>
      <c r="S907" s="4"/>
      <c r="T907" s="4"/>
      <c r="U907" s="5"/>
      <c r="V907" s="5"/>
      <c r="W907" s="4"/>
      <c r="X907" s="4"/>
      <c r="Y907" s="4"/>
      <c r="Z907" s="4"/>
      <c r="AA907" s="4"/>
      <c r="AB907" s="4"/>
      <c r="AC907" s="5"/>
      <c r="AD907" s="5"/>
      <c r="AE907" s="5"/>
    </row>
    <row r="908">
      <c r="A908" s="4"/>
      <c r="B908" s="4"/>
      <c r="C908" s="4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5"/>
      <c r="R908" s="4"/>
      <c r="S908" s="4"/>
      <c r="T908" s="4"/>
      <c r="U908" s="5"/>
      <c r="V908" s="5"/>
      <c r="W908" s="4"/>
      <c r="X908" s="4"/>
      <c r="Y908" s="4"/>
      <c r="Z908" s="4"/>
      <c r="AA908" s="4"/>
      <c r="AB908" s="4"/>
      <c r="AC908" s="5"/>
      <c r="AD908" s="5"/>
      <c r="AE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4"/>
      <c r="B913" s="4"/>
      <c r="C913" s="4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5"/>
      <c r="R913" s="4"/>
      <c r="S913" s="4"/>
      <c r="T913" s="4"/>
      <c r="U913" s="5"/>
      <c r="V913" s="5"/>
      <c r="W913" s="4"/>
      <c r="X913" s="4"/>
      <c r="Y913" s="4"/>
      <c r="Z913" s="4"/>
      <c r="AA913" s="4"/>
      <c r="AB913" s="4"/>
      <c r="AC913" s="5"/>
      <c r="AD913" s="5"/>
      <c r="AE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>
      <c r="D5" s="16" t="s">
        <v>1746</v>
      </c>
      <c r="E5" s="17"/>
      <c r="G5" s="3" t="s">
        <v>1747</v>
      </c>
    </row>
    <row r="6">
      <c r="D6" s="17">
        <f>SUM(B3:B54)</f>
        <v>1057</v>
      </c>
      <c r="E6" s="17"/>
    </row>
    <row r="7">
      <c r="D7" s="18" t="s">
        <v>1748</v>
      </c>
      <c r="E7" s="19"/>
    </row>
    <row r="8">
      <c r="D8" s="19">
        <f>SUM(B55:B98)</f>
        <v>1657</v>
      </c>
      <c r="E8" s="19"/>
    </row>
    <row r="9">
      <c r="D9" s="20" t="s">
        <v>1749</v>
      </c>
      <c r="E9" s="21"/>
    </row>
    <row r="10">
      <c r="D10" s="21">
        <f>SUM(B99:B160)</f>
        <v>2546</v>
      </c>
      <c r="E10" s="21"/>
    </row>
    <row r="11">
      <c r="D11" s="22" t="s">
        <v>1750</v>
      </c>
      <c r="E11" s="23"/>
    </row>
    <row r="12">
      <c r="D12" s="23">
        <f>SUM(B161:B214)</f>
        <v>1190</v>
      </c>
      <c r="E12" s="23"/>
    </row>
    <row r="13">
      <c r="D13" s="24" t="s">
        <v>1751</v>
      </c>
      <c r="E13" s="25"/>
    </row>
    <row r="14">
      <c r="D14" s="25">
        <f>SUM(B215:B273)</f>
        <v>1863</v>
      </c>
      <c r="E14" s="25"/>
    </row>
    <row r="15">
      <c r="D15" s="16" t="s">
        <v>1752</v>
      </c>
      <c r="E15" s="17"/>
    </row>
    <row r="16">
      <c r="D16" s="17">
        <f>SUM(B274:B315)</f>
        <v>1506</v>
      </c>
      <c r="E16" s="17"/>
    </row>
    <row r="17">
      <c r="D17" s="18" t="s">
        <v>1753</v>
      </c>
      <c r="E17" s="19"/>
    </row>
    <row r="18">
      <c r="D18" s="18">
        <v>10933.0</v>
      </c>
      <c r="E18" s="19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>
      <c r="D8" s="26" t="s">
        <v>1756</v>
      </c>
      <c r="E8" s="27"/>
      <c r="G8" s="3" t="s">
        <v>1757</v>
      </c>
    </row>
    <row r="9">
      <c r="D9" s="27">
        <f>SUM(B3:B54)</f>
        <v>4844</v>
      </c>
      <c r="E9" s="27"/>
    </row>
    <row r="10">
      <c r="D10" s="28" t="s">
        <v>1758</v>
      </c>
      <c r="E10" s="29"/>
    </row>
    <row r="11">
      <c r="D11" s="29">
        <f>SUM(B55:B98)</f>
        <v>6841</v>
      </c>
      <c r="E11" s="29"/>
    </row>
    <row r="12">
      <c r="D12" s="30" t="s">
        <v>1759</v>
      </c>
      <c r="E12" s="31"/>
    </row>
    <row r="13">
      <c r="D13" s="31">
        <f>SUM(B99:B160)</f>
        <v>7852</v>
      </c>
      <c r="E13" s="31"/>
    </row>
    <row r="14">
      <c r="D14" s="32" t="s">
        <v>1760</v>
      </c>
      <c r="E14" s="33"/>
    </row>
    <row r="15">
      <c r="D15" s="33">
        <f>SUM(B161:B214)</f>
        <v>5664</v>
      </c>
      <c r="E15" s="33"/>
    </row>
    <row r="16">
      <c r="D16" s="34" t="s">
        <v>1761</v>
      </c>
      <c r="E16" s="35"/>
    </row>
    <row r="17">
      <c r="D17" s="35">
        <f>SUM(B215:B273)</f>
        <v>6913</v>
      </c>
      <c r="E17" s="35"/>
    </row>
    <row r="18">
      <c r="D18" s="36" t="s">
        <v>1762</v>
      </c>
      <c r="E18" s="37"/>
    </row>
    <row r="19">
      <c r="D19" s="37">
        <f>SUM(B274:B315)</f>
        <v>6614</v>
      </c>
      <c r="E19" s="37"/>
    </row>
    <row r="20">
      <c r="D20" s="38" t="s">
        <v>1763</v>
      </c>
      <c r="E20" s="39"/>
    </row>
    <row r="21">
      <c r="D21" s="38">
        <v>42325.0</v>
      </c>
      <c r="E21" s="39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1764</v>
      </c>
      <c r="B1" s="40" t="s">
        <v>1765</v>
      </c>
      <c r="C1" s="41"/>
    </row>
    <row r="2">
      <c r="A2" s="40">
        <v>2020.0</v>
      </c>
      <c r="B2" s="40">
        <v>6380.0</v>
      </c>
      <c r="C2" s="41"/>
    </row>
    <row r="3">
      <c r="A3" s="40">
        <v>2021.0</v>
      </c>
      <c r="B3" s="40">
        <v>5111.0</v>
      </c>
      <c r="C3" s="41"/>
    </row>
    <row r="4">
      <c r="A4" s="40">
        <v>2022.0</v>
      </c>
      <c r="B4" s="40">
        <v>4410.0</v>
      </c>
      <c r="C4" s="41"/>
    </row>
    <row r="5">
      <c r="A5" s="40">
        <v>2023.0</v>
      </c>
      <c r="B5" s="40">
        <v>4922.0</v>
      </c>
      <c r="C5" s="41"/>
    </row>
    <row r="6">
      <c r="A6" s="40">
        <v>2024.0</v>
      </c>
      <c r="B6" s="40">
        <v>5616.0</v>
      </c>
      <c r="C6" s="41"/>
    </row>
    <row r="7">
      <c r="A7" s="40">
        <v>2025.0</v>
      </c>
      <c r="B7" s="40">
        <v>5138.0</v>
      </c>
      <c r="C7" s="41"/>
    </row>
  </sheetData>
  <drawing r:id="rId1"/>
</worksheet>
</file>